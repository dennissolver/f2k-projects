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ni\PycharmProjects\F2K-Projects\docs\"/>
    </mc:Choice>
  </mc:AlternateContent>
  <xr:revisionPtr revIDLastSave="0" documentId="8_{72BEABFE-E55A-4F26-9A0E-6F35DFF01C8E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README" sheetId="1" r:id="rId1"/>
    <sheet name="Lot_Allocation_Master" sheetId="2" r:id="rId2"/>
    <sheet name="Stage_Pricing_Ladder" sheetId="3" r:id="rId3"/>
    <sheet name="Offtaker_Summary" sheetId="4" r:id="rId4"/>
    <sheet name="Dwelling_Types" sheetId="5" r:id="rId5"/>
    <sheet name="Audit_Lo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F11" i="4"/>
  <c r="E11" i="4"/>
  <c r="C11" i="4"/>
  <c r="D11" i="4" s="1"/>
  <c r="F10" i="4"/>
  <c r="E10" i="4"/>
  <c r="C10" i="4"/>
  <c r="D10" i="4" s="1"/>
  <c r="F9" i="4"/>
  <c r="E9" i="4"/>
  <c r="C9" i="4"/>
  <c r="D9" i="4" s="1"/>
  <c r="C8" i="4"/>
  <c r="D8" i="4" s="1"/>
  <c r="F7" i="4"/>
  <c r="E7" i="4"/>
  <c r="C7" i="4"/>
  <c r="D7" i="4" s="1"/>
  <c r="F6" i="4"/>
  <c r="E6" i="4"/>
  <c r="C6" i="4"/>
  <c r="D6" i="4" s="1"/>
  <c r="F5" i="4"/>
  <c r="E5" i="4"/>
  <c r="C5" i="4"/>
  <c r="D5" i="4" s="1"/>
  <c r="F4" i="4"/>
  <c r="E4" i="4"/>
  <c r="C4" i="4"/>
  <c r="C13" i="4" s="1"/>
  <c r="E10" i="3"/>
  <c r="C10" i="3"/>
  <c r="C9" i="3"/>
  <c r="D9" i="3" s="1"/>
  <c r="C8" i="3"/>
  <c r="E8" i="3" s="1"/>
  <c r="E7" i="3"/>
  <c r="C7" i="3"/>
  <c r="D7" i="3" s="1"/>
  <c r="E6" i="3"/>
  <c r="C6" i="3"/>
  <c r="E5" i="3"/>
  <c r="C5" i="3"/>
  <c r="C4" i="3"/>
  <c r="D6" i="3" s="1"/>
  <c r="B146" i="2"/>
  <c r="K144" i="2"/>
  <c r="M144" i="2" s="1"/>
  <c r="K143" i="2"/>
  <c r="M143" i="2" s="1"/>
  <c r="K142" i="2"/>
  <c r="M142" i="2" s="1"/>
  <c r="K141" i="2"/>
  <c r="M141" i="2" s="1"/>
  <c r="K140" i="2"/>
  <c r="M140" i="2" s="1"/>
  <c r="K139" i="2"/>
  <c r="M139" i="2" s="1"/>
  <c r="K138" i="2"/>
  <c r="M138" i="2" s="1"/>
  <c r="K137" i="2"/>
  <c r="M137" i="2" s="1"/>
  <c r="K136" i="2"/>
  <c r="M136" i="2" s="1"/>
  <c r="K135" i="2"/>
  <c r="M135" i="2" s="1"/>
  <c r="K134" i="2"/>
  <c r="M134" i="2" s="1"/>
  <c r="K133" i="2"/>
  <c r="M133" i="2" s="1"/>
  <c r="K132" i="2"/>
  <c r="M132" i="2" s="1"/>
  <c r="K131" i="2"/>
  <c r="M131" i="2" s="1"/>
  <c r="K130" i="2"/>
  <c r="M130" i="2" s="1"/>
  <c r="K129" i="2"/>
  <c r="M129" i="2" s="1"/>
  <c r="K128" i="2"/>
  <c r="M128" i="2" s="1"/>
  <c r="K127" i="2"/>
  <c r="M127" i="2" s="1"/>
  <c r="K126" i="2"/>
  <c r="M126" i="2" s="1"/>
  <c r="K125" i="2"/>
  <c r="M125" i="2" s="1"/>
  <c r="K124" i="2"/>
  <c r="M124" i="2" s="1"/>
  <c r="K123" i="2"/>
  <c r="M123" i="2" s="1"/>
  <c r="K122" i="2"/>
  <c r="M122" i="2" s="1"/>
  <c r="K121" i="2"/>
  <c r="M121" i="2" s="1"/>
  <c r="K120" i="2"/>
  <c r="M120" i="2" s="1"/>
  <c r="K119" i="2"/>
  <c r="M119" i="2" s="1"/>
  <c r="K118" i="2"/>
  <c r="M118" i="2" s="1"/>
  <c r="K117" i="2"/>
  <c r="M117" i="2" s="1"/>
  <c r="K116" i="2"/>
  <c r="M116" i="2" s="1"/>
  <c r="K115" i="2"/>
  <c r="M115" i="2" s="1"/>
  <c r="K114" i="2"/>
  <c r="M114" i="2" s="1"/>
  <c r="K113" i="2"/>
  <c r="M113" i="2" s="1"/>
  <c r="K112" i="2"/>
  <c r="M112" i="2" s="1"/>
  <c r="K111" i="2"/>
  <c r="M111" i="2" s="1"/>
  <c r="K110" i="2"/>
  <c r="M110" i="2" s="1"/>
  <c r="K109" i="2"/>
  <c r="M109" i="2" s="1"/>
  <c r="K108" i="2"/>
  <c r="M108" i="2" s="1"/>
  <c r="K107" i="2"/>
  <c r="M107" i="2" s="1"/>
  <c r="K106" i="2"/>
  <c r="M106" i="2" s="1"/>
  <c r="K105" i="2"/>
  <c r="M105" i="2" s="1"/>
  <c r="K104" i="2"/>
  <c r="M104" i="2" s="1"/>
  <c r="K103" i="2"/>
  <c r="M103" i="2" s="1"/>
  <c r="K102" i="2"/>
  <c r="M102" i="2" s="1"/>
  <c r="K101" i="2"/>
  <c r="M101" i="2" s="1"/>
  <c r="K100" i="2"/>
  <c r="M100" i="2" s="1"/>
  <c r="K99" i="2"/>
  <c r="M99" i="2" s="1"/>
  <c r="K98" i="2"/>
  <c r="M98" i="2" s="1"/>
  <c r="K97" i="2"/>
  <c r="M97" i="2" s="1"/>
  <c r="K96" i="2"/>
  <c r="M96" i="2" s="1"/>
  <c r="K95" i="2"/>
  <c r="M95" i="2" s="1"/>
  <c r="K94" i="2"/>
  <c r="M94" i="2" s="1"/>
  <c r="K93" i="2"/>
  <c r="M93" i="2" s="1"/>
  <c r="K92" i="2"/>
  <c r="M92" i="2" s="1"/>
  <c r="K91" i="2"/>
  <c r="M91" i="2" s="1"/>
  <c r="K90" i="2"/>
  <c r="M90" i="2" s="1"/>
  <c r="K89" i="2"/>
  <c r="M89" i="2" s="1"/>
  <c r="K88" i="2"/>
  <c r="M88" i="2" s="1"/>
  <c r="K87" i="2"/>
  <c r="M87" i="2" s="1"/>
  <c r="K86" i="2"/>
  <c r="M86" i="2" s="1"/>
  <c r="K85" i="2"/>
  <c r="M85" i="2" s="1"/>
  <c r="K84" i="2"/>
  <c r="M84" i="2" s="1"/>
  <c r="K83" i="2"/>
  <c r="M83" i="2" s="1"/>
  <c r="K82" i="2"/>
  <c r="M82" i="2" s="1"/>
  <c r="K81" i="2"/>
  <c r="M81" i="2" s="1"/>
  <c r="K80" i="2"/>
  <c r="M80" i="2" s="1"/>
  <c r="K79" i="2"/>
  <c r="M79" i="2" s="1"/>
  <c r="K78" i="2"/>
  <c r="M78" i="2" s="1"/>
  <c r="K77" i="2"/>
  <c r="M77" i="2" s="1"/>
  <c r="K76" i="2"/>
  <c r="M76" i="2" s="1"/>
  <c r="K75" i="2"/>
  <c r="M75" i="2" s="1"/>
  <c r="K74" i="2"/>
  <c r="M74" i="2" s="1"/>
  <c r="K73" i="2"/>
  <c r="M73" i="2" s="1"/>
  <c r="K72" i="2"/>
  <c r="M72" i="2" s="1"/>
  <c r="K71" i="2"/>
  <c r="M71" i="2" s="1"/>
  <c r="K70" i="2"/>
  <c r="M70" i="2" s="1"/>
  <c r="K69" i="2"/>
  <c r="M69" i="2" s="1"/>
  <c r="K68" i="2"/>
  <c r="M68" i="2" s="1"/>
  <c r="K67" i="2"/>
  <c r="M67" i="2" s="1"/>
  <c r="K66" i="2"/>
  <c r="M66" i="2" s="1"/>
  <c r="K65" i="2"/>
  <c r="M65" i="2" s="1"/>
  <c r="K64" i="2"/>
  <c r="M64" i="2" s="1"/>
  <c r="K63" i="2"/>
  <c r="M63" i="2" s="1"/>
  <c r="K62" i="2"/>
  <c r="M62" i="2" s="1"/>
  <c r="K61" i="2"/>
  <c r="M61" i="2" s="1"/>
  <c r="K60" i="2"/>
  <c r="M60" i="2" s="1"/>
  <c r="K59" i="2"/>
  <c r="M59" i="2" s="1"/>
  <c r="K58" i="2"/>
  <c r="M58" i="2" s="1"/>
  <c r="K57" i="2"/>
  <c r="M57" i="2" s="1"/>
  <c r="K56" i="2"/>
  <c r="M56" i="2" s="1"/>
  <c r="K55" i="2"/>
  <c r="M55" i="2" s="1"/>
  <c r="K54" i="2"/>
  <c r="M54" i="2" s="1"/>
  <c r="K53" i="2"/>
  <c r="M53" i="2" s="1"/>
  <c r="K52" i="2"/>
  <c r="M52" i="2" s="1"/>
  <c r="K51" i="2"/>
  <c r="M51" i="2" s="1"/>
  <c r="K50" i="2"/>
  <c r="M50" i="2" s="1"/>
  <c r="K49" i="2"/>
  <c r="M49" i="2" s="1"/>
  <c r="K48" i="2"/>
  <c r="M48" i="2" s="1"/>
  <c r="K47" i="2"/>
  <c r="M47" i="2" s="1"/>
  <c r="K46" i="2"/>
  <c r="M46" i="2" s="1"/>
  <c r="K45" i="2"/>
  <c r="M45" i="2" s="1"/>
  <c r="K44" i="2"/>
  <c r="M44" i="2" s="1"/>
  <c r="K43" i="2"/>
  <c r="M43" i="2" s="1"/>
  <c r="K42" i="2"/>
  <c r="M42" i="2" s="1"/>
  <c r="K41" i="2"/>
  <c r="M41" i="2" s="1"/>
  <c r="K40" i="2"/>
  <c r="M40" i="2" s="1"/>
  <c r="K39" i="2"/>
  <c r="M39" i="2" s="1"/>
  <c r="K38" i="2"/>
  <c r="M38" i="2" s="1"/>
  <c r="K37" i="2"/>
  <c r="M37" i="2" s="1"/>
  <c r="K36" i="2"/>
  <c r="M36" i="2" s="1"/>
  <c r="K35" i="2"/>
  <c r="M35" i="2" s="1"/>
  <c r="K34" i="2"/>
  <c r="M34" i="2" s="1"/>
  <c r="K33" i="2"/>
  <c r="M33" i="2" s="1"/>
  <c r="K32" i="2"/>
  <c r="M32" i="2" s="1"/>
  <c r="K31" i="2"/>
  <c r="M31" i="2" s="1"/>
  <c r="K30" i="2"/>
  <c r="M30" i="2" s="1"/>
  <c r="K29" i="2"/>
  <c r="M29" i="2" s="1"/>
  <c r="K28" i="2"/>
  <c r="M28" i="2" s="1"/>
  <c r="K27" i="2"/>
  <c r="M27" i="2" s="1"/>
  <c r="K26" i="2"/>
  <c r="M26" i="2" s="1"/>
  <c r="K25" i="2"/>
  <c r="M25" i="2" s="1"/>
  <c r="K24" i="2"/>
  <c r="M24" i="2" s="1"/>
  <c r="K23" i="2"/>
  <c r="M23" i="2" s="1"/>
  <c r="K22" i="2"/>
  <c r="M22" i="2" s="1"/>
  <c r="K21" i="2"/>
  <c r="M21" i="2" s="1"/>
  <c r="K20" i="2"/>
  <c r="M20" i="2" s="1"/>
  <c r="K19" i="2"/>
  <c r="M19" i="2" s="1"/>
  <c r="K18" i="2"/>
  <c r="M18" i="2" s="1"/>
  <c r="K17" i="2"/>
  <c r="M17" i="2" s="1"/>
  <c r="K16" i="2"/>
  <c r="M16" i="2" s="1"/>
  <c r="K15" i="2"/>
  <c r="M15" i="2" s="1"/>
  <c r="K14" i="2"/>
  <c r="M14" i="2" s="1"/>
  <c r="K13" i="2"/>
  <c r="M13" i="2" s="1"/>
  <c r="K12" i="2"/>
  <c r="M12" i="2" s="1"/>
  <c r="K11" i="2"/>
  <c r="M11" i="2" s="1"/>
  <c r="K10" i="2"/>
  <c r="M10" i="2" s="1"/>
  <c r="K9" i="2"/>
  <c r="M9" i="2" s="1"/>
  <c r="K8" i="2"/>
  <c r="M8" i="2" s="1"/>
  <c r="K7" i="2"/>
  <c r="M7" i="2" s="1"/>
  <c r="K6" i="2"/>
  <c r="M6" i="2" s="1"/>
  <c r="K5" i="2"/>
  <c r="M5" i="2" s="1"/>
  <c r="K4" i="2"/>
  <c r="M4" i="2" s="1"/>
  <c r="K3" i="2"/>
  <c r="M3" i="2" s="1"/>
  <c r="F8" i="4" l="1"/>
  <c r="F13" i="4" s="1"/>
  <c r="M146" i="2"/>
  <c r="E9" i="3"/>
  <c r="K146" i="2"/>
  <c r="D10" i="3"/>
  <c r="E8" i="4"/>
  <c r="E13" i="4" s="1"/>
  <c r="D4" i="3"/>
  <c r="E4" i="3"/>
  <c r="D4" i="4"/>
  <c r="D13" i="4" s="1"/>
  <c r="D5" i="3"/>
  <c r="D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" authorId="0" shapeId="0" xr:uid="{00000000-0006-0000-0100-000001000000}">
      <text>
        <r>
          <rPr>
            <sz val="10"/>
            <rFont val="Arial"/>
            <family val="2"/>
          </rPr>
          <t>Lot number from the V6 register / CLE 08B plan.</t>
        </r>
      </text>
    </comment>
    <comment ref="B2" authorId="0" shapeId="0" xr:uid="{00000000-0006-0000-0100-000002000000}">
      <text>
        <r>
          <rPr>
            <sz val="10"/>
            <rFont val="Arial"/>
            <family val="2"/>
          </rPr>
          <t>Area in m² — taken from V6 register. [VERIFY] for irregular polygons.</t>
        </r>
      </text>
    </comment>
    <comment ref="C2" authorId="0" shapeId="0" xr:uid="{00000000-0006-0000-0100-000003000000}">
      <text>
        <r>
          <rPr>
            <sz val="10"/>
            <rFont val="Arial"/>
            <family val="2"/>
          </rPr>
          <t>Size category — Compact (&lt;500m²), Standard (500–700m²), Large (700–900m²), Premium (&gt;900m²).</t>
        </r>
      </text>
    </comment>
    <comment ref="D2" authorId="0" shapeId="0" xr:uid="{00000000-0006-0000-0100-000004000000}">
      <text>
        <r>
          <rPr>
            <sz val="10"/>
            <rFont val="Arial"/>
            <family val="2"/>
          </rPr>
          <t>Zone/block from the staging map (e.g. 'Pepper Gate West / SW Block').</t>
        </r>
      </text>
    </comment>
    <comment ref="E2" authorId="0" shapeId="0" xr:uid="{00000000-0006-0000-0100-000005000000}">
      <text>
        <r>
          <rPr>
            <sz val="10"/>
            <rFont val="Arial"/>
            <family val="2"/>
          </rPr>
          <t>Stage 1 through Stage 7. Confirm or correct the pre-fill.</t>
        </r>
      </text>
    </comment>
    <comment ref="F2" authorId="0" shapeId="0" xr:uid="{00000000-0006-0000-0100-000006000000}">
      <text>
        <r>
          <rPr>
            <sz val="10"/>
            <rFont val="Arial"/>
            <family val="2"/>
          </rPr>
          <t>Available / Reserved / Withheld / Sold. Public-facing status.</t>
        </r>
      </text>
    </comment>
    <comment ref="G2" authorId="0" shapeId="0" xr:uid="{00000000-0006-0000-0100-000007000000}">
      <text>
        <r>
          <rPr>
            <sz val="10"/>
            <rFont val="Arial"/>
            <family val="2"/>
          </rPr>
          <t>GROH / Baurimus / Takken / WACHS / Public / Withheld (F2K control). Required for any non-Public lot.</t>
        </r>
      </text>
    </comment>
    <comment ref="H2" authorId="0" shapeId="0" xr:uid="{00000000-0006-0000-0100-000008000000}">
      <text>
        <r>
          <rPr>
            <sz val="10"/>
            <rFont val="Arial"/>
            <family val="2"/>
          </rPr>
          <t>If H&amp;L, pick from Dwelling_Types sheet. If land-only, leave blank.</t>
        </r>
      </text>
    </comment>
    <comment ref="I2" authorId="0" shapeId="0" xr:uid="{00000000-0006-0000-0100-000009000000}">
      <text>
        <r>
          <rPr>
            <sz val="10"/>
            <rFont val="Arial"/>
            <family val="2"/>
          </rPr>
          <t>Y = bare land, N = house and land package. Drives whether House $ is required.</t>
        </r>
      </text>
    </comment>
    <comment ref="J2" authorId="0" shapeId="0" xr:uid="{00000000-0006-0000-0100-00000A000000}">
      <text>
        <r>
          <rPr>
            <sz val="10"/>
            <rFont val="Arial"/>
            <family val="2"/>
          </rPr>
          <t>Per-m² price override (e.g. institutional rate). Leave blank to use the Stage rate.</t>
        </r>
      </text>
    </comment>
    <comment ref="K2" authorId="0" shapeId="0" xr:uid="{00000000-0006-0000-0100-00000B000000}">
      <text>
        <r>
          <rPr>
            <sz val="10"/>
            <rFont val="Arial"/>
            <family val="2"/>
          </rPr>
          <t>Auto-calculated: Area × ($/m² override if set, else Stage rate from Stage_Pricing_Ladder).</t>
        </r>
      </text>
    </comment>
    <comment ref="L2" authorId="0" shapeId="0" xr:uid="{00000000-0006-0000-0100-00000C000000}">
      <text>
        <r>
          <rPr>
            <sz val="10"/>
            <rFont val="Arial"/>
            <family val="2"/>
          </rPr>
          <t>House build cost for H&amp;L packages. Leave blank for land-only.</t>
        </r>
      </text>
    </comment>
    <comment ref="M2" authorId="0" shapeId="0" xr:uid="{00000000-0006-0000-0100-00000D000000}">
      <text>
        <r>
          <rPr>
            <sz val="10"/>
            <rFont val="Arial"/>
            <family val="2"/>
          </rPr>
          <t>Auto-calculated: Land $ + House $.</t>
        </r>
      </text>
    </comment>
    <comment ref="N2" authorId="0" shapeId="0" xr:uid="{00000000-0006-0000-0100-00000E000000}">
      <text>
        <r>
          <rPr>
            <sz val="10"/>
            <rFont val="Arial"/>
            <family val="2"/>
          </rPr>
          <t>Y = show price on site. N = price hidden (e.g. institutional allocations).</t>
        </r>
      </text>
    </comment>
    <comment ref="O2" authorId="0" shapeId="0" xr:uid="{00000000-0006-0000-0100-00000F000000}">
      <text>
        <r>
          <rPr>
            <sz val="10"/>
            <rFont val="Arial"/>
            <family val="2"/>
          </rPr>
          <t>Public-facing label shown in lot panel (e.g. 'Reserved — GROH allocation' or 'Available').</t>
        </r>
      </text>
    </comment>
    <comment ref="P2" authorId="0" shapeId="0" xr:uid="{00000000-0006-0000-0100-000010000000}">
      <text>
        <r>
          <rPr>
            <sz val="10"/>
            <rFont val="Arial"/>
            <family val="2"/>
          </rPr>
          <t>Any flag, query, or special handling note for this lot.</t>
        </r>
      </text>
    </comment>
  </commentList>
</comments>
</file>

<file path=xl/sharedStrings.xml><?xml version="1.0" encoding="utf-8"?>
<sst xmlns="http://schemas.openxmlformats.org/spreadsheetml/2006/main" count="1143" uniqueCount="152">
  <si>
    <t>Seafields Estate — Lot Allocation Master</t>
  </si>
  <si>
    <t>Working document for launch admin and lot-level allocations</t>
  </si>
  <si>
    <t>PURPOSE</t>
  </si>
  <si>
    <t>This workbook is the single source of truth for lot-level data driving the Seafields launch.</t>
  </si>
  <si>
    <t>It serves three audiences:</t>
  </si>
  <si>
    <t xml:space="preserve">   • Uwe — fills in the knowledge in his head: which lots go to whom, what dwelling type, what price.</t>
  </si>
  <si>
    <t xml:space="preserve">   • Tanveer — uses as the admin reference when allocating lots on the live website.</t>
  </si>
  <si>
    <t xml:space="preserve">   • The website — the Lot_Allocation_Master sheet exports directly to the site data layer.</t>
  </si>
  <si>
    <t>If a field is wrong here, it will be wrong on the site. Treat this as the authoritative record.</t>
  </si>
  <si>
    <t>COLOUR CODING</t>
  </si>
  <si>
    <t>Yellow fill, blue text</t>
  </si>
  <si>
    <t>Input field — Uwe to fill</t>
  </si>
  <si>
    <t>Pink fill, red bold text</t>
  </si>
  <si>
    <t>CRITICAL input — must be answered before launch</t>
  </si>
  <si>
    <t>Grey fill</t>
  </si>
  <si>
    <t>Derived / locked — do not edit (calculated or set elsewhere)</t>
  </si>
  <si>
    <t>White, black text</t>
  </si>
  <si>
    <t>Formula cell — recalculates automatically</t>
  </si>
  <si>
    <t>INSTRUCTIONS FOR UWE</t>
  </si>
  <si>
    <t>1. Open the "Lot_Allocation_Master" sheet. Yellow cells are yours to complete.</t>
  </si>
  <si>
    <t>2. Pink cells are the priority — these block the website launch if unanswered.</t>
  </si>
  <si>
    <t>3. The pre-filled lot numbers, sizes, and stage assignments are pulled from the V6 lot register</t>
  </si>
  <si>
    <t xml:space="preserve">   and the current website staging. If you see something wrong, flag it in the "Notes" column.</t>
  </si>
  <si>
    <t>4. For each lot, tell us:</t>
  </si>
  <si>
    <t xml:space="preserve">       (a) WHO it is allocated to (GROH / Baurimus / Takken / Public / Withheld)</t>
  </si>
  <si>
    <t xml:space="preserve">       (b) WHAT goes on it — bare land only, or a specific dwelling from the Dwelling_Types catalogue</t>
  </si>
  <si>
    <t xml:space="preserve">       (c) WHICH STAGE it sits in (confirm or correct the pre-fill)</t>
  </si>
  <si>
    <t xml:space="preserve">       (d) Any wholesale/institutional price override for non-public allocations</t>
  </si>
  <si>
    <t>5. Open the "Stage_Pricing_Ladder" sheet and set the per-m² rate for each stage.</t>
  </si>
  <si>
    <t>6. Open the "Dwelling_Types" sheet and add any house plans we should be marketing.</t>
  </si>
  <si>
    <t>7. Save and email back to Dennis. Tanveer will use this as the live admin reference.</t>
  </si>
  <si>
    <t>INSTRUCTIONS FOR TANVEER</t>
  </si>
  <si>
    <t>1. The "Lot_Allocation_Master" sheet is your live reference when allocating lots on the site.</t>
  </si>
  <si>
    <t>2. For each public registration that comes in, check:</t>
  </si>
  <si>
    <t xml:space="preserve">       - Is this lot Available, Reserved, or Withheld?</t>
  </si>
  <si>
    <t xml:space="preserve">       - If Reserved — to whom, and at what stage? Do not release without Uwe / Dennis sign-off.</t>
  </si>
  <si>
    <t xml:space="preserve">       - If a registrant requests "lock in," refer to the lock-in workflow document (separate).</t>
  </si>
  <si>
    <t>3. When you change a lot status on the site, update the "Status" column here in the same session.</t>
  </si>
  <si>
    <t>4. Log all changes in the Audit_Log sheet (date, lot, change, reason, who).</t>
  </si>
  <si>
    <t>LOT ALLOCATION MASTER — one row per lot. Yellow = Uwe input. Pink = priority. Grey = derived.</t>
  </si>
  <si>
    <t>Lot #</t>
  </si>
  <si>
    <t>Area (m²)</t>
  </si>
  <si>
    <t>Category</t>
  </si>
  <si>
    <t>Zone / Block</t>
  </si>
  <si>
    <t>Stage</t>
  </si>
  <si>
    <t>Status</t>
  </si>
  <si>
    <t>Allocated To</t>
  </si>
  <si>
    <t>Dwelling Type</t>
  </si>
  <si>
    <t>Land Only? (Y/N)</t>
  </si>
  <si>
    <t>Land $/m² Override</t>
  </si>
  <si>
    <t>Calc Land $</t>
  </si>
  <si>
    <t>House $ (if H&amp;L)</t>
  </si>
  <si>
    <t>Total H&amp;L $</t>
  </si>
  <si>
    <t>Display Price?</t>
  </si>
  <si>
    <t>Public Label</t>
  </si>
  <si>
    <t>Notes / Uwe Comments</t>
  </si>
  <si>
    <t>Large</t>
  </si>
  <si>
    <t>Pepper Gate West / SW Block</t>
  </si>
  <si>
    <t>Stage 1</t>
  </si>
  <si>
    <t>Available</t>
  </si>
  <si>
    <t>Public</t>
  </si>
  <si>
    <t>Y</t>
  </si>
  <si>
    <t>Standard</t>
  </si>
  <si>
    <t>Sutcliffe Road</t>
  </si>
  <si>
    <t>Premium</t>
  </si>
  <si>
    <t>Central — Heritage Lot</t>
  </si>
  <si>
    <t>Stage 2</t>
  </si>
  <si>
    <t>Central</t>
  </si>
  <si>
    <t>Stage 3</t>
  </si>
  <si>
    <t>East</t>
  </si>
  <si>
    <t>Stage 4</t>
  </si>
  <si>
    <t>North</t>
  </si>
  <si>
    <t>Stage 5</t>
  </si>
  <si>
    <t>Central Upper</t>
  </si>
  <si>
    <t>Stage 6</t>
  </si>
  <si>
    <t>NW Premium</t>
  </si>
  <si>
    <t>Stage 7</t>
  </si>
  <si>
    <t>TOTALS</t>
  </si>
  <si>
    <t>STAGE PRICING LADDER — Uwe to set entry rate and per-stage escalation</t>
  </si>
  <si>
    <t>Stage 1 entry rate $/m²:</t>
  </si>
  <si>
    <t>Per-m² rates rise with each stage to create price-escalation FOMO. Land $ = Area × Rate.</t>
  </si>
  <si>
    <t>Step per stage $/m²:</t>
  </si>
  <si>
    <t>Stage Label</t>
  </si>
  <si>
    <t>Land $/m² (retail)</t>
  </si>
  <si>
    <t>Escalation vs Stage 1</t>
  </si>
  <si>
    <t>Sample 600m² lot</t>
  </si>
  <si>
    <t>Notes</t>
  </si>
  <si>
    <t>↑ Uwe sets these two cells; the table below recalculates</t>
  </si>
  <si>
    <t>SW Block — Launch</t>
  </si>
  <si>
    <t>Central Heritage</t>
  </si>
  <si>
    <t>PRICING DECISIONS UWE NEEDS TO MAKE</t>
  </si>
  <si>
    <t>1. Stage 1 entry rate ($/m²) — set in cell I1. Sanity check against current Geraldton comparables.</t>
  </si>
  <si>
    <t>2. Step per stage ($/m²) — set in cell I2. e.g. $15/m² creates a $9,000 step on a 600m² lot.</t>
  </si>
  <si>
    <t>3. Decide whether to override individual stage rates manually (column C can be hardcoded if not uniform).</t>
  </si>
  <si>
    <t>4. Decide if existing piecewise model (floor $120K ≤450m², +$90/m² 450–600, +$50/m² 600–800, +$25/m² &gt;800)</t>
  </si>
  <si>
    <t xml:space="preserve">   still applies WITHIN each stage, or whether stage rate fully replaces it.</t>
  </si>
  <si>
    <t>5. Institutional allocations (GROH/Baurimus/Takken) — set per-lot override in Lot_Allocation_Master col J.</t>
  </si>
  <si>
    <t>OFFTAKER SUMMARY — auto-updates from Lot_Allocation_Master</t>
  </si>
  <si>
    <t>A live count of allocations as Uwe fills in the Master sheet. Shows who has what at a glance.</t>
  </si>
  <si>
    <t>Target</t>
  </si>
  <si>
    <t>Allocated</t>
  </si>
  <si>
    <t>Outstanding</t>
  </si>
  <si>
    <t>Total Land $</t>
  </si>
  <si>
    <t>GROH</t>
  </si>
  <si>
    <t>Baurimus</t>
  </si>
  <si>
    <t>Takken</t>
  </si>
  <si>
    <t>WACHS</t>
  </si>
  <si>
    <t>F2K Withheld</t>
  </si>
  <si>
    <t>Display Home</t>
  </si>
  <si>
    <t>Heritage Retained</t>
  </si>
  <si>
    <t>TOTAL</t>
  </si>
  <si>
    <t>CRITICAL QUESTIONS — confirm with Uwe before launch</t>
  </si>
  <si>
    <t>• GROH: target 14 lots. Confirmed by WACHS/GROH? Which specific lots?</t>
  </si>
  <si>
    <t>• Baurimus: target 5 lots TBC. Confirmed by Michael Baurimus? Which specific lots?</t>
  </si>
  <si>
    <t>• Takken: target 10 lots. AGREED under Cooperation Agreement, or still Barry pre-commit?</t>
  </si>
  <si>
    <t>• WACHS: separate from GROH or same allocation? Target count?</t>
  </si>
  <si>
    <t>• Display home lot — Lot 91 Brownlie referenced in Drive. Inside or outside this development?</t>
  </si>
  <si>
    <t>• Heritage Lot 323 — retained for what use? Display? Sale at Premium pricing?</t>
  </si>
  <si>
    <t>DWELLING TYPES — house plans available for H&amp;L packages</t>
  </si>
  <si>
    <t>Uwe / Tanveer to populate with the house plans on offer. Master sheet references the "Code" column.</t>
  </si>
  <si>
    <t>Code</t>
  </si>
  <si>
    <t>Plan Name</t>
  </si>
  <si>
    <t>Bedrooms</t>
  </si>
  <si>
    <t>Bathrooms</t>
  </si>
  <si>
    <t>Floor Area (m²)</t>
  </si>
  <si>
    <t>Build Cost $</t>
  </si>
  <si>
    <t>Notes / Use Case</t>
  </si>
  <si>
    <t>GROH-3B</t>
  </si>
  <si>
    <t>GROH 3-bedroom standard</t>
  </si>
  <si>
    <t>Standard GROH allocation</t>
  </si>
  <si>
    <t>GROH-4B</t>
  </si>
  <si>
    <t>GROH 4-bedroom family</t>
  </si>
  <si>
    <t>Family GROH allocation</t>
  </si>
  <si>
    <t>BAU-3B</t>
  </si>
  <si>
    <t>Baurimus 3-bed</t>
  </si>
  <si>
    <t>Baurimus build — cost TBC</t>
  </si>
  <si>
    <t>DISP-4B</t>
  </si>
  <si>
    <t>Display home — 4-bed Hero</t>
  </si>
  <si>
    <t>Display, hero marketing piece</t>
  </si>
  <si>
    <t>PUB-3B</t>
  </si>
  <si>
    <t>Public H&amp;L — 3-bed</t>
  </si>
  <si>
    <t>Open market H&amp;L offering</t>
  </si>
  <si>
    <t>PUB-4B</t>
  </si>
  <si>
    <t>Public H&amp;L — 4-bed</t>
  </si>
  <si>
    <t>AUDIT LOG — record every change to the Master sheet</t>
  </si>
  <si>
    <t>Tanveer: log each change you make so Dennis and Uwe can trace allocations.</t>
  </si>
  <si>
    <t>Date / Time</t>
  </si>
  <si>
    <t>Field Changed</t>
  </si>
  <si>
    <t>Old Value</t>
  </si>
  <si>
    <t>New Value</t>
  </si>
  <si>
    <t>Reason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</si>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</sst>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\$#,##0"/>
    <numFmt numFmtId="166" formatCode="0.0%"/>
  </numFmts>
  <fonts count="16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color rgb="FF595959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sz val="10"/>
      <color rgb="FF0070C0"/>
      <name val="Arial"/>
      <charset val="1"/>
    </font>
    <font>
      <b/>
      <sz val="10"/>
      <color rgb="FFC00000"/>
      <name val="Arial"/>
      <charset val="1"/>
    </font>
    <font>
      <sz val="10"/>
      <color rgb="FF595959"/>
      <name val="Arial"/>
      <charset val="1"/>
    </font>
    <font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2"/>
      <color rgb="FF1F4E78"/>
      <name val="Arial"/>
      <charset val="1"/>
    </font>
    <font>
      <b/>
      <sz val="10"/>
      <name val="Arial"/>
      <charset val="1"/>
    </font>
    <font>
      <i/>
      <sz val="9"/>
      <color rgb="FFC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3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right" vertical="center"/>
    </xf>
    <xf numFmtId="0" fontId="11" fillId="2" borderId="0" xfId="0" applyFont="1" applyFill="1"/>
    <xf numFmtId="3" fontId="11" fillId="0" borderId="0" xfId="0" applyNumberFormat="1" applyFont="1"/>
    <xf numFmtId="165" fontId="11" fillId="0" borderId="0" xfId="0" applyNumberFormat="1" applyFont="1"/>
    <xf numFmtId="0" fontId="14" fillId="0" borderId="0" xfId="0" applyFont="1"/>
    <xf numFmtId="165" fontId="5" fillId="3" borderId="1" xfId="0" applyNumberFormat="1" applyFont="1" applyFill="1" applyBorder="1" applyAlignment="1">
      <alignment horizontal="left" vertical="center" wrapText="1"/>
    </xf>
    <xf numFmtId="0" fontId="15" fillId="0" borderId="0" xfId="0" applyFont="1"/>
    <xf numFmtId="165" fontId="8" fillId="0" borderId="1" xfId="0" applyNumberFormat="1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0" fontId="14" fillId="0" borderId="1" xfId="0" applyFont="1" applyBorder="1"/>
    <xf numFmtId="0" fontId="8" fillId="0" borderId="1" xfId="0" applyFont="1" applyBorder="1" applyAlignment="1">
      <alignment horizontal="right" vertical="center"/>
    </xf>
    <xf numFmtId="0" fontId="11" fillId="0" borderId="1" xfId="0" applyFont="1" applyBorder="1"/>
    <xf numFmtId="165" fontId="1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Normal="100" workbookViewId="0">
      <selection sqref="A1:F1"/>
    </sheetView>
  </sheetViews>
  <sheetFormatPr defaultColWidth="8.6328125" defaultRowHeight="14.5" x14ac:dyDescent="0.35"/>
  <cols>
    <col min="1" max="1" width="28" customWidth="1"/>
    <col min="2" max="6" width="18" customWidth="1"/>
  </cols>
  <sheetData>
    <row r="1" spans="1:6" ht="20" x14ac:dyDescent="0.4">
      <c r="A1" s="7" t="s">
        <v>0</v>
      </c>
      <c r="B1" s="7"/>
      <c r="C1" s="7"/>
      <c r="D1" s="7"/>
      <c r="E1" s="7"/>
      <c r="F1" s="7"/>
    </row>
    <row r="2" spans="1:6" x14ac:dyDescent="0.35">
      <c r="A2" s="6" t="s">
        <v>1</v>
      </c>
      <c r="B2" s="6"/>
      <c r="C2" s="6"/>
      <c r="D2" s="6"/>
      <c r="E2" s="6"/>
      <c r="F2" s="6"/>
    </row>
    <row r="4" spans="1:6" x14ac:dyDescent="0.35">
      <c r="A4" s="5" t="s">
        <v>2</v>
      </c>
      <c r="B4" s="5"/>
      <c r="C4" s="5"/>
      <c r="D4" s="5"/>
      <c r="E4" s="5"/>
      <c r="F4" s="5"/>
    </row>
    <row r="5" spans="1:6" x14ac:dyDescent="0.35">
      <c r="A5" s="4"/>
      <c r="B5" s="4"/>
      <c r="C5" s="4"/>
      <c r="D5" s="4"/>
      <c r="E5" s="4"/>
      <c r="F5" s="4"/>
    </row>
    <row r="6" spans="1:6" x14ac:dyDescent="0.35">
      <c r="A6" s="4" t="s">
        <v>3</v>
      </c>
      <c r="B6" s="4"/>
      <c r="C6" s="4"/>
      <c r="D6" s="4"/>
      <c r="E6" s="4"/>
      <c r="F6" s="4"/>
    </row>
    <row r="7" spans="1:6" x14ac:dyDescent="0.35">
      <c r="A7" s="4"/>
      <c r="B7" s="4"/>
      <c r="C7" s="4"/>
      <c r="D7" s="4"/>
      <c r="E7" s="4"/>
      <c r="F7" s="4"/>
    </row>
    <row r="8" spans="1:6" x14ac:dyDescent="0.35">
      <c r="A8" s="4" t="s">
        <v>4</v>
      </c>
      <c r="B8" s="4"/>
      <c r="C8" s="4"/>
      <c r="D8" s="4"/>
      <c r="E8" s="4"/>
      <c r="F8" s="4"/>
    </row>
    <row r="9" spans="1:6" x14ac:dyDescent="0.35">
      <c r="A9" s="4" t="s">
        <v>5</v>
      </c>
      <c r="B9" s="4"/>
      <c r="C9" s="4"/>
      <c r="D9" s="4"/>
      <c r="E9" s="4"/>
      <c r="F9" s="4"/>
    </row>
    <row r="10" spans="1:6" x14ac:dyDescent="0.35">
      <c r="A10" s="4" t="s">
        <v>6</v>
      </c>
      <c r="B10" s="4"/>
      <c r="C10" s="4"/>
      <c r="D10" s="4"/>
      <c r="E10" s="4"/>
      <c r="F10" s="4"/>
    </row>
    <row r="11" spans="1:6" x14ac:dyDescent="0.35">
      <c r="A11" s="4" t="s">
        <v>7</v>
      </c>
      <c r="B11" s="4"/>
      <c r="C11" s="4"/>
      <c r="D11" s="4"/>
      <c r="E11" s="4"/>
      <c r="F11" s="4"/>
    </row>
    <row r="12" spans="1:6" x14ac:dyDescent="0.35">
      <c r="A12" s="4"/>
      <c r="B12" s="4"/>
      <c r="C12" s="4"/>
      <c r="D12" s="4"/>
      <c r="E12" s="4"/>
      <c r="F12" s="4"/>
    </row>
    <row r="13" spans="1:6" x14ac:dyDescent="0.35">
      <c r="A13" s="4" t="s">
        <v>8</v>
      </c>
      <c r="B13" s="4"/>
      <c r="C13" s="4"/>
      <c r="D13" s="4"/>
      <c r="E13" s="4"/>
      <c r="F13" s="4"/>
    </row>
    <row r="16" spans="1:6" x14ac:dyDescent="0.35">
      <c r="A16" s="5" t="s">
        <v>9</v>
      </c>
      <c r="B16" s="5"/>
      <c r="C16" s="5"/>
      <c r="D16" s="5"/>
      <c r="E16" s="5"/>
      <c r="F16" s="5"/>
    </row>
    <row r="18" spans="1:6" ht="15" customHeight="1" x14ac:dyDescent="0.35">
      <c r="A18" s="8" t="s">
        <v>10</v>
      </c>
      <c r="B18" s="3" t="s">
        <v>11</v>
      </c>
      <c r="C18" s="3"/>
      <c r="D18" s="3"/>
      <c r="E18" s="3"/>
      <c r="F18" s="3"/>
    </row>
    <row r="19" spans="1:6" ht="15" customHeight="1" x14ac:dyDescent="0.35">
      <c r="A19" s="9" t="s">
        <v>12</v>
      </c>
      <c r="B19" s="3" t="s">
        <v>13</v>
      </c>
      <c r="C19" s="3"/>
      <c r="D19" s="3"/>
      <c r="E19" s="3"/>
      <c r="F19" s="3"/>
    </row>
    <row r="20" spans="1:6" ht="15" customHeight="1" x14ac:dyDescent="0.35">
      <c r="A20" s="10" t="s">
        <v>14</v>
      </c>
      <c r="B20" s="3" t="s">
        <v>15</v>
      </c>
      <c r="C20" s="3"/>
      <c r="D20" s="3"/>
      <c r="E20" s="3"/>
      <c r="F20" s="3"/>
    </row>
    <row r="21" spans="1:6" ht="15" customHeight="1" x14ac:dyDescent="0.35">
      <c r="A21" s="11" t="s">
        <v>16</v>
      </c>
      <c r="B21" s="3" t="s">
        <v>17</v>
      </c>
      <c r="C21" s="3"/>
      <c r="D21" s="3"/>
      <c r="E21" s="3"/>
      <c r="F21" s="3"/>
    </row>
    <row r="24" spans="1:6" x14ac:dyDescent="0.35">
      <c r="A24" s="5" t="s">
        <v>18</v>
      </c>
      <c r="B24" s="5"/>
      <c r="C24" s="5"/>
      <c r="D24" s="5"/>
      <c r="E24" s="5"/>
      <c r="F24" s="5"/>
    </row>
    <row r="25" spans="1:6" x14ac:dyDescent="0.35">
      <c r="A25" s="4"/>
      <c r="B25" s="4"/>
      <c r="C25" s="4"/>
      <c r="D25" s="4"/>
      <c r="E25" s="4"/>
      <c r="F25" s="4"/>
    </row>
    <row r="26" spans="1:6" x14ac:dyDescent="0.35">
      <c r="A26" s="4" t="s">
        <v>19</v>
      </c>
      <c r="B26" s="4"/>
      <c r="C26" s="4"/>
      <c r="D26" s="4"/>
      <c r="E26" s="4"/>
      <c r="F26" s="4"/>
    </row>
    <row r="27" spans="1:6" x14ac:dyDescent="0.35">
      <c r="A27" s="4" t="s">
        <v>20</v>
      </c>
      <c r="B27" s="4"/>
      <c r="C27" s="4"/>
      <c r="D27" s="4"/>
      <c r="E27" s="4"/>
      <c r="F27" s="4"/>
    </row>
    <row r="28" spans="1:6" x14ac:dyDescent="0.35">
      <c r="A28" s="4" t="s">
        <v>21</v>
      </c>
      <c r="B28" s="4"/>
      <c r="C28" s="4"/>
      <c r="D28" s="4"/>
      <c r="E28" s="4"/>
      <c r="F28" s="4"/>
    </row>
    <row r="29" spans="1:6" x14ac:dyDescent="0.35">
      <c r="A29" s="4" t="s">
        <v>22</v>
      </c>
      <c r="B29" s="4"/>
      <c r="C29" s="4"/>
      <c r="D29" s="4"/>
      <c r="E29" s="4"/>
      <c r="F29" s="4"/>
    </row>
    <row r="30" spans="1:6" x14ac:dyDescent="0.35">
      <c r="A30" s="4" t="s">
        <v>23</v>
      </c>
      <c r="B30" s="4"/>
      <c r="C30" s="4"/>
      <c r="D30" s="4"/>
      <c r="E30" s="4"/>
      <c r="F30" s="4"/>
    </row>
    <row r="31" spans="1:6" x14ac:dyDescent="0.35">
      <c r="A31" s="4" t="s">
        <v>24</v>
      </c>
      <c r="B31" s="4"/>
      <c r="C31" s="4"/>
      <c r="D31" s="4"/>
      <c r="E31" s="4"/>
      <c r="F31" s="4"/>
    </row>
    <row r="32" spans="1:6" x14ac:dyDescent="0.35">
      <c r="A32" s="4" t="s">
        <v>25</v>
      </c>
      <c r="B32" s="4"/>
      <c r="C32" s="4"/>
      <c r="D32" s="4"/>
      <c r="E32" s="4"/>
      <c r="F32" s="4"/>
    </row>
    <row r="33" spans="1:6" x14ac:dyDescent="0.35">
      <c r="A33" s="4" t="s">
        <v>26</v>
      </c>
      <c r="B33" s="4"/>
      <c r="C33" s="4"/>
      <c r="D33" s="4"/>
      <c r="E33" s="4"/>
      <c r="F33" s="4"/>
    </row>
    <row r="34" spans="1:6" x14ac:dyDescent="0.35">
      <c r="A34" s="4" t="s">
        <v>27</v>
      </c>
      <c r="B34" s="4"/>
      <c r="C34" s="4"/>
      <c r="D34" s="4"/>
      <c r="E34" s="4"/>
      <c r="F34" s="4"/>
    </row>
    <row r="35" spans="1:6" x14ac:dyDescent="0.35">
      <c r="A35" s="4" t="s">
        <v>28</v>
      </c>
      <c r="B35" s="4"/>
      <c r="C35" s="4"/>
      <c r="D35" s="4"/>
      <c r="E35" s="4"/>
      <c r="F35" s="4"/>
    </row>
    <row r="36" spans="1:6" x14ac:dyDescent="0.35">
      <c r="A36" s="4" t="s">
        <v>29</v>
      </c>
      <c r="B36" s="4"/>
      <c r="C36" s="4"/>
      <c r="D36" s="4"/>
      <c r="E36" s="4"/>
      <c r="F36" s="4"/>
    </row>
    <row r="37" spans="1:6" x14ac:dyDescent="0.35">
      <c r="A37" s="4" t="s">
        <v>30</v>
      </c>
      <c r="B37" s="4"/>
      <c r="C37" s="4"/>
      <c r="D37" s="4"/>
      <c r="E37" s="4"/>
      <c r="F37" s="4"/>
    </row>
    <row r="40" spans="1:6" x14ac:dyDescent="0.35">
      <c r="A40" s="5" t="s">
        <v>31</v>
      </c>
      <c r="B40" s="5"/>
      <c r="C40" s="5"/>
      <c r="D40" s="5"/>
      <c r="E40" s="5"/>
      <c r="F40" s="5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 t="s">
        <v>32</v>
      </c>
      <c r="B42" s="4"/>
      <c r="C42" s="4"/>
      <c r="D42" s="4"/>
      <c r="E42" s="4"/>
      <c r="F42" s="4"/>
    </row>
    <row r="43" spans="1:6" x14ac:dyDescent="0.35">
      <c r="A43" s="4" t="s">
        <v>33</v>
      </c>
      <c r="B43" s="4"/>
      <c r="C43" s="4"/>
      <c r="D43" s="4"/>
      <c r="E43" s="4"/>
      <c r="F43" s="4"/>
    </row>
    <row r="44" spans="1:6" x14ac:dyDescent="0.35">
      <c r="A44" s="4" t="s">
        <v>34</v>
      </c>
      <c r="B44" s="4"/>
      <c r="C44" s="4"/>
      <c r="D44" s="4"/>
      <c r="E44" s="4"/>
      <c r="F44" s="4"/>
    </row>
    <row r="45" spans="1:6" x14ac:dyDescent="0.35">
      <c r="A45" s="4" t="s">
        <v>35</v>
      </c>
      <c r="B45" s="4"/>
      <c r="C45" s="4"/>
      <c r="D45" s="4"/>
      <c r="E45" s="4"/>
      <c r="F45" s="4"/>
    </row>
    <row r="46" spans="1:6" x14ac:dyDescent="0.35">
      <c r="A46" s="4" t="s">
        <v>36</v>
      </c>
      <c r="B46" s="4"/>
      <c r="C46" s="4"/>
      <c r="D46" s="4"/>
      <c r="E46" s="4"/>
      <c r="F46" s="4"/>
    </row>
    <row r="47" spans="1:6" x14ac:dyDescent="0.35">
      <c r="A47" s="4" t="s">
        <v>37</v>
      </c>
      <c r="B47" s="4"/>
      <c r="C47" s="4"/>
      <c r="D47" s="4"/>
      <c r="E47" s="4"/>
      <c r="F47" s="4"/>
    </row>
    <row r="48" spans="1:6" x14ac:dyDescent="0.35">
      <c r="A48" s="4" t="s">
        <v>38</v>
      </c>
      <c r="B48" s="4"/>
      <c r="C48" s="4"/>
      <c r="D48" s="4"/>
      <c r="E48" s="4"/>
      <c r="F48" s="4"/>
    </row>
  </sheetData>
  <mergeCells count="40">
    <mergeCell ref="A44:F44"/>
    <mergeCell ref="A45:F45"/>
    <mergeCell ref="A46:F46"/>
    <mergeCell ref="A47:F47"/>
    <mergeCell ref="A48:F48"/>
    <mergeCell ref="A37:F37"/>
    <mergeCell ref="A40:F40"/>
    <mergeCell ref="A41:F41"/>
    <mergeCell ref="A42:F42"/>
    <mergeCell ref="A43:F43"/>
    <mergeCell ref="A32:F32"/>
    <mergeCell ref="A33:F33"/>
    <mergeCell ref="A34:F34"/>
    <mergeCell ref="A35:F35"/>
    <mergeCell ref="A36:F36"/>
    <mergeCell ref="A27:F27"/>
    <mergeCell ref="A28:F28"/>
    <mergeCell ref="A29:F29"/>
    <mergeCell ref="A30:F30"/>
    <mergeCell ref="A31:F31"/>
    <mergeCell ref="B20:F20"/>
    <mergeCell ref="B21:F21"/>
    <mergeCell ref="A24:F24"/>
    <mergeCell ref="A25:F25"/>
    <mergeCell ref="A26:F26"/>
    <mergeCell ref="A12:F12"/>
    <mergeCell ref="A13:F13"/>
    <mergeCell ref="A16:F16"/>
    <mergeCell ref="B18:F18"/>
    <mergeCell ref="B19:F19"/>
    <mergeCell ref="A7:F7"/>
    <mergeCell ref="A8:F8"/>
    <mergeCell ref="A9:F9"/>
    <mergeCell ref="A10:F10"/>
    <mergeCell ref="A11:F11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328125" defaultRowHeight="14.5" x14ac:dyDescent="0.35"/>
  <cols>
    <col min="1" max="1" width="8" customWidth="1"/>
    <col min="2" max="2" width="10" customWidth="1"/>
    <col min="3" max="3" width="11" customWidth="1"/>
    <col min="4" max="4" width="20" customWidth="1"/>
    <col min="5" max="5" width="9" customWidth="1"/>
    <col min="6" max="6" width="13" customWidth="1"/>
    <col min="7" max="8" width="18" customWidth="1"/>
    <col min="9" max="9" width="11" customWidth="1"/>
    <col min="10" max="13" width="13" customWidth="1"/>
    <col min="14" max="14" width="12" customWidth="1"/>
    <col min="15" max="15" width="24" customWidth="1"/>
    <col min="16" max="16" width="35" customWidth="1"/>
  </cols>
  <sheetData>
    <row r="1" spans="1:16" x14ac:dyDescent="0.35">
      <c r="A1" s="2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31.5" customHeight="1" x14ac:dyDescent="0.35">
      <c r="A2" s="12" t="s">
        <v>40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45</v>
      </c>
      <c r="G2" s="12" t="s">
        <v>46</v>
      </c>
      <c r="H2" s="12" t="s">
        <v>47</v>
      </c>
      <c r="I2" s="12" t="s">
        <v>48</v>
      </c>
      <c r="J2" s="12" t="s">
        <v>49</v>
      </c>
      <c r="K2" s="12" t="s">
        <v>50</v>
      </c>
      <c r="L2" s="12" t="s">
        <v>51</v>
      </c>
      <c r="M2" s="12" t="s">
        <v>52</v>
      </c>
      <c r="N2" s="12" t="s">
        <v>53</v>
      </c>
      <c r="O2" s="12" t="s">
        <v>54</v>
      </c>
      <c r="P2" s="12" t="s">
        <v>55</v>
      </c>
    </row>
    <row r="3" spans="1:16" x14ac:dyDescent="0.35">
      <c r="A3" s="13">
        <v>332</v>
      </c>
      <c r="B3" s="13">
        <v>690</v>
      </c>
      <c r="C3" s="13" t="s">
        <v>56</v>
      </c>
      <c r="D3" s="13" t="s">
        <v>57</v>
      </c>
      <c r="E3" s="14" t="s">
        <v>58</v>
      </c>
      <c r="F3" s="15" t="s">
        <v>59</v>
      </c>
      <c r="G3" s="15" t="s">
        <v>60</v>
      </c>
      <c r="H3" s="14"/>
      <c r="I3" s="14" t="s">
        <v>61</v>
      </c>
      <c r="J3" s="14"/>
      <c r="K3" s="16">
        <f>IFERROR(B3*IF(J3&lt;&gt;"",J3,VLOOKUP(E3,Stage_Pricing_Ladder!$A$4:$C$10,3,FALSE())),"")</f>
        <v>172500</v>
      </c>
      <c r="L3" s="14"/>
      <c r="M3" s="16">
        <f t="shared" ref="M3:M34" si="0">IFERROR(K3+IF(L3="",0,L3),"")</f>
        <v>172500</v>
      </c>
      <c r="N3" s="14" t="s">
        <v>61</v>
      </c>
      <c r="O3" s="14"/>
      <c r="P3" s="14"/>
    </row>
    <row r="4" spans="1:16" x14ac:dyDescent="0.35">
      <c r="A4" s="13">
        <v>333</v>
      </c>
      <c r="B4" s="13">
        <v>680</v>
      </c>
      <c r="C4" s="13" t="s">
        <v>62</v>
      </c>
      <c r="D4" s="13" t="s">
        <v>57</v>
      </c>
      <c r="E4" s="14" t="s">
        <v>58</v>
      </c>
      <c r="F4" s="15" t="s">
        <v>59</v>
      </c>
      <c r="G4" s="15" t="s">
        <v>60</v>
      </c>
      <c r="H4" s="14"/>
      <c r="I4" s="14" t="s">
        <v>61</v>
      </c>
      <c r="J4" s="14"/>
      <c r="K4" s="16">
        <f>IFERROR(B4*IF(J4&lt;&gt;"",J4,VLOOKUP(E4,Stage_Pricing_Ladder!$A$4:$C$10,3,FALSE())),"")</f>
        <v>170000</v>
      </c>
      <c r="L4" s="14"/>
      <c r="M4" s="16">
        <f t="shared" si="0"/>
        <v>170000</v>
      </c>
      <c r="N4" s="14" t="s">
        <v>61</v>
      </c>
      <c r="O4" s="14"/>
      <c r="P4" s="14"/>
    </row>
    <row r="5" spans="1:16" x14ac:dyDescent="0.35">
      <c r="A5" s="13">
        <v>334</v>
      </c>
      <c r="B5" s="13">
        <v>670</v>
      </c>
      <c r="C5" s="13" t="s">
        <v>62</v>
      </c>
      <c r="D5" s="13" t="s">
        <v>57</v>
      </c>
      <c r="E5" s="14" t="s">
        <v>58</v>
      </c>
      <c r="F5" s="15" t="s">
        <v>59</v>
      </c>
      <c r="G5" s="15" t="s">
        <v>60</v>
      </c>
      <c r="H5" s="14"/>
      <c r="I5" s="14" t="s">
        <v>61</v>
      </c>
      <c r="J5" s="14"/>
      <c r="K5" s="16">
        <f>IFERROR(B5*IF(J5&lt;&gt;"",J5,VLOOKUP(E5,Stage_Pricing_Ladder!$A$4:$C$10,3,FALSE())),"")</f>
        <v>167500</v>
      </c>
      <c r="L5" s="14"/>
      <c r="M5" s="16">
        <f t="shared" si="0"/>
        <v>167500</v>
      </c>
      <c r="N5" s="14" t="s">
        <v>61</v>
      </c>
      <c r="O5" s="14"/>
      <c r="P5" s="14"/>
    </row>
    <row r="6" spans="1:16" x14ac:dyDescent="0.35">
      <c r="A6" s="13">
        <v>335</v>
      </c>
      <c r="B6" s="13">
        <v>660</v>
      </c>
      <c r="C6" s="13" t="s">
        <v>62</v>
      </c>
      <c r="D6" s="13" t="s">
        <v>57</v>
      </c>
      <c r="E6" s="14" t="s">
        <v>58</v>
      </c>
      <c r="F6" s="15" t="s">
        <v>59</v>
      </c>
      <c r="G6" s="15" t="s">
        <v>60</v>
      </c>
      <c r="H6" s="14"/>
      <c r="I6" s="14" t="s">
        <v>61</v>
      </c>
      <c r="J6" s="14"/>
      <c r="K6" s="16">
        <f>IFERROR(B6*IF(J6&lt;&gt;"",J6,VLOOKUP(E6,Stage_Pricing_Ladder!$A$4:$C$10,3,FALSE())),"")</f>
        <v>165000</v>
      </c>
      <c r="L6" s="14"/>
      <c r="M6" s="16">
        <f t="shared" si="0"/>
        <v>165000</v>
      </c>
      <c r="N6" s="14" t="s">
        <v>61</v>
      </c>
      <c r="O6" s="14"/>
      <c r="P6" s="14"/>
    </row>
    <row r="7" spans="1:16" x14ac:dyDescent="0.35">
      <c r="A7" s="13">
        <v>336</v>
      </c>
      <c r="B7" s="13">
        <v>650</v>
      </c>
      <c r="C7" s="13" t="s">
        <v>62</v>
      </c>
      <c r="D7" s="13" t="s">
        <v>57</v>
      </c>
      <c r="E7" s="14" t="s">
        <v>58</v>
      </c>
      <c r="F7" s="15" t="s">
        <v>59</v>
      </c>
      <c r="G7" s="15" t="s">
        <v>60</v>
      </c>
      <c r="H7" s="14"/>
      <c r="I7" s="14" t="s">
        <v>61</v>
      </c>
      <c r="J7" s="14"/>
      <c r="K7" s="16">
        <f>IFERROR(B7*IF(J7&lt;&gt;"",J7,VLOOKUP(E7,Stage_Pricing_Ladder!$A$4:$C$10,3,FALSE())),"")</f>
        <v>162500</v>
      </c>
      <c r="L7" s="14"/>
      <c r="M7" s="16">
        <f t="shared" si="0"/>
        <v>162500</v>
      </c>
      <c r="N7" s="14" t="s">
        <v>61</v>
      </c>
      <c r="O7" s="14"/>
      <c r="P7" s="14"/>
    </row>
    <row r="8" spans="1:16" x14ac:dyDescent="0.35">
      <c r="A8" s="13">
        <v>337</v>
      </c>
      <c r="B8" s="13">
        <v>640</v>
      </c>
      <c r="C8" s="13" t="s">
        <v>62</v>
      </c>
      <c r="D8" s="13" t="s">
        <v>57</v>
      </c>
      <c r="E8" s="14" t="s">
        <v>58</v>
      </c>
      <c r="F8" s="15" t="s">
        <v>59</v>
      </c>
      <c r="G8" s="15" t="s">
        <v>60</v>
      </c>
      <c r="H8" s="14"/>
      <c r="I8" s="14" t="s">
        <v>61</v>
      </c>
      <c r="J8" s="14"/>
      <c r="K8" s="16">
        <f>IFERROR(B8*IF(J8&lt;&gt;"",J8,VLOOKUP(E8,Stage_Pricing_Ladder!$A$4:$C$10,3,FALSE())),"")</f>
        <v>160000</v>
      </c>
      <c r="L8" s="14"/>
      <c r="M8" s="16">
        <f t="shared" si="0"/>
        <v>160000</v>
      </c>
      <c r="N8" s="14" t="s">
        <v>61</v>
      </c>
      <c r="O8" s="14"/>
      <c r="P8" s="14"/>
    </row>
    <row r="9" spans="1:16" x14ac:dyDescent="0.35">
      <c r="A9" s="13">
        <v>338</v>
      </c>
      <c r="B9" s="13">
        <v>630</v>
      </c>
      <c r="C9" s="13" t="s">
        <v>62</v>
      </c>
      <c r="D9" s="13" t="s">
        <v>57</v>
      </c>
      <c r="E9" s="14" t="s">
        <v>58</v>
      </c>
      <c r="F9" s="15" t="s">
        <v>59</v>
      </c>
      <c r="G9" s="15" t="s">
        <v>60</v>
      </c>
      <c r="H9" s="14"/>
      <c r="I9" s="14" t="s">
        <v>61</v>
      </c>
      <c r="J9" s="14"/>
      <c r="K9" s="16">
        <f>IFERROR(B9*IF(J9&lt;&gt;"",J9,VLOOKUP(E9,Stage_Pricing_Ladder!$A$4:$C$10,3,FALSE())),"")</f>
        <v>157500</v>
      </c>
      <c r="L9" s="14"/>
      <c r="M9" s="16">
        <f t="shared" si="0"/>
        <v>157500</v>
      </c>
      <c r="N9" s="14" t="s">
        <v>61</v>
      </c>
      <c r="O9" s="14"/>
      <c r="P9" s="14"/>
    </row>
    <row r="10" spans="1:16" x14ac:dyDescent="0.35">
      <c r="A10" s="13">
        <v>339</v>
      </c>
      <c r="B10" s="13">
        <v>620</v>
      </c>
      <c r="C10" s="13" t="s">
        <v>62</v>
      </c>
      <c r="D10" s="13" t="s">
        <v>57</v>
      </c>
      <c r="E10" s="14" t="s">
        <v>58</v>
      </c>
      <c r="F10" s="15" t="s">
        <v>59</v>
      </c>
      <c r="G10" s="15" t="s">
        <v>60</v>
      </c>
      <c r="H10" s="14"/>
      <c r="I10" s="14" t="s">
        <v>61</v>
      </c>
      <c r="J10" s="14"/>
      <c r="K10" s="16">
        <f>IFERROR(B10*IF(J10&lt;&gt;"",J10,VLOOKUP(E10,Stage_Pricing_Ladder!$A$4:$C$10,3,FALSE())),"")</f>
        <v>155000</v>
      </c>
      <c r="L10" s="14"/>
      <c r="M10" s="16">
        <f t="shared" si="0"/>
        <v>155000</v>
      </c>
      <c r="N10" s="14" t="s">
        <v>61</v>
      </c>
      <c r="O10" s="14"/>
      <c r="P10" s="14"/>
    </row>
    <row r="11" spans="1:16" x14ac:dyDescent="0.35">
      <c r="A11" s="13">
        <v>340</v>
      </c>
      <c r="B11" s="13">
        <v>610</v>
      </c>
      <c r="C11" s="13" t="s">
        <v>62</v>
      </c>
      <c r="D11" s="13" t="s">
        <v>57</v>
      </c>
      <c r="E11" s="14" t="s">
        <v>58</v>
      </c>
      <c r="F11" s="15" t="s">
        <v>59</v>
      </c>
      <c r="G11" s="15" t="s">
        <v>60</v>
      </c>
      <c r="H11" s="14"/>
      <c r="I11" s="14" t="s">
        <v>61</v>
      </c>
      <c r="J11" s="14"/>
      <c r="K11" s="16">
        <f>IFERROR(B11*IF(J11&lt;&gt;"",J11,VLOOKUP(E11,Stage_Pricing_Ladder!$A$4:$C$10,3,FALSE())),"")</f>
        <v>152500</v>
      </c>
      <c r="L11" s="14"/>
      <c r="M11" s="16">
        <f t="shared" si="0"/>
        <v>152500</v>
      </c>
      <c r="N11" s="14" t="s">
        <v>61</v>
      </c>
      <c r="O11" s="14"/>
      <c r="P11" s="14"/>
    </row>
    <row r="12" spans="1:16" x14ac:dyDescent="0.35">
      <c r="A12" s="13">
        <v>341</v>
      </c>
      <c r="B12" s="13">
        <v>600</v>
      </c>
      <c r="C12" s="13" t="s">
        <v>62</v>
      </c>
      <c r="D12" s="13" t="s">
        <v>57</v>
      </c>
      <c r="E12" s="14" t="s">
        <v>58</v>
      </c>
      <c r="F12" s="15" t="s">
        <v>59</v>
      </c>
      <c r="G12" s="15" t="s">
        <v>60</v>
      </c>
      <c r="H12" s="14"/>
      <c r="I12" s="14" t="s">
        <v>61</v>
      </c>
      <c r="J12" s="14"/>
      <c r="K12" s="16">
        <f>IFERROR(B12*IF(J12&lt;&gt;"",J12,VLOOKUP(E12,Stage_Pricing_Ladder!$A$4:$C$10,3,FALSE())),"")</f>
        <v>150000</v>
      </c>
      <c r="L12" s="14"/>
      <c r="M12" s="16">
        <f t="shared" si="0"/>
        <v>150000</v>
      </c>
      <c r="N12" s="14" t="s">
        <v>61</v>
      </c>
      <c r="O12" s="14"/>
      <c r="P12" s="14"/>
    </row>
    <row r="13" spans="1:16" x14ac:dyDescent="0.35">
      <c r="A13" s="13">
        <v>342</v>
      </c>
      <c r="B13" s="13">
        <v>590</v>
      </c>
      <c r="C13" s="13" t="s">
        <v>62</v>
      </c>
      <c r="D13" s="13" t="s">
        <v>57</v>
      </c>
      <c r="E13" s="14" t="s">
        <v>58</v>
      </c>
      <c r="F13" s="15" t="s">
        <v>59</v>
      </c>
      <c r="G13" s="15" t="s">
        <v>60</v>
      </c>
      <c r="H13" s="14"/>
      <c r="I13" s="14" t="s">
        <v>61</v>
      </c>
      <c r="J13" s="14"/>
      <c r="K13" s="16">
        <f>IFERROR(B13*IF(J13&lt;&gt;"",J13,VLOOKUP(E13,Stage_Pricing_Ladder!$A$4:$C$10,3,FALSE())),"")</f>
        <v>147500</v>
      </c>
      <c r="L13" s="14"/>
      <c r="M13" s="16">
        <f t="shared" si="0"/>
        <v>147500</v>
      </c>
      <c r="N13" s="14" t="s">
        <v>61</v>
      </c>
      <c r="O13" s="14"/>
      <c r="P13" s="14"/>
    </row>
    <row r="14" spans="1:16" x14ac:dyDescent="0.35">
      <c r="A14" s="13">
        <v>343</v>
      </c>
      <c r="B14" s="13">
        <v>580</v>
      </c>
      <c r="C14" s="13" t="s">
        <v>62</v>
      </c>
      <c r="D14" s="13" t="s">
        <v>57</v>
      </c>
      <c r="E14" s="14" t="s">
        <v>58</v>
      </c>
      <c r="F14" s="15" t="s">
        <v>59</v>
      </c>
      <c r="G14" s="15" t="s">
        <v>60</v>
      </c>
      <c r="H14" s="14"/>
      <c r="I14" s="14" t="s">
        <v>61</v>
      </c>
      <c r="J14" s="14"/>
      <c r="K14" s="16">
        <f>IFERROR(B14*IF(J14&lt;&gt;"",J14,VLOOKUP(E14,Stage_Pricing_Ladder!$A$4:$C$10,3,FALSE())),"")</f>
        <v>145000</v>
      </c>
      <c r="L14" s="14"/>
      <c r="M14" s="16">
        <f t="shared" si="0"/>
        <v>145000</v>
      </c>
      <c r="N14" s="14" t="s">
        <v>61</v>
      </c>
      <c r="O14" s="14"/>
      <c r="P14" s="14"/>
    </row>
    <row r="15" spans="1:16" x14ac:dyDescent="0.35">
      <c r="A15" s="13">
        <v>344</v>
      </c>
      <c r="B15" s="13">
        <v>570</v>
      </c>
      <c r="C15" s="13" t="s">
        <v>62</v>
      </c>
      <c r="D15" s="13" t="s">
        <v>57</v>
      </c>
      <c r="E15" s="14" t="s">
        <v>58</v>
      </c>
      <c r="F15" s="15" t="s">
        <v>59</v>
      </c>
      <c r="G15" s="15" t="s">
        <v>60</v>
      </c>
      <c r="H15" s="14"/>
      <c r="I15" s="14" t="s">
        <v>61</v>
      </c>
      <c r="J15" s="14"/>
      <c r="K15" s="16">
        <f>IFERROR(B15*IF(J15&lt;&gt;"",J15,VLOOKUP(E15,Stage_Pricing_Ladder!$A$4:$C$10,3,FALSE())),"")</f>
        <v>142500</v>
      </c>
      <c r="L15" s="14"/>
      <c r="M15" s="16">
        <f t="shared" si="0"/>
        <v>142500</v>
      </c>
      <c r="N15" s="14" t="s">
        <v>61</v>
      </c>
      <c r="O15" s="14"/>
      <c r="P15" s="14"/>
    </row>
    <row r="16" spans="1:16" x14ac:dyDescent="0.35">
      <c r="A16" s="13">
        <v>345</v>
      </c>
      <c r="B16" s="13">
        <v>560</v>
      </c>
      <c r="C16" s="13" t="s">
        <v>62</v>
      </c>
      <c r="D16" s="13" t="s">
        <v>57</v>
      </c>
      <c r="E16" s="14" t="s">
        <v>58</v>
      </c>
      <c r="F16" s="15" t="s">
        <v>59</v>
      </c>
      <c r="G16" s="15" t="s">
        <v>60</v>
      </c>
      <c r="H16" s="14"/>
      <c r="I16" s="14" t="s">
        <v>61</v>
      </c>
      <c r="J16" s="14"/>
      <c r="K16" s="16">
        <f>IFERROR(B16*IF(J16&lt;&gt;"",J16,VLOOKUP(E16,Stage_Pricing_Ladder!$A$4:$C$10,3,FALSE())),"")</f>
        <v>140000</v>
      </c>
      <c r="L16" s="14"/>
      <c r="M16" s="16">
        <f t="shared" si="0"/>
        <v>140000</v>
      </c>
      <c r="N16" s="14" t="s">
        <v>61</v>
      </c>
      <c r="O16" s="14"/>
      <c r="P16" s="14"/>
    </row>
    <row r="17" spans="1:16" x14ac:dyDescent="0.35">
      <c r="A17" s="13">
        <v>346</v>
      </c>
      <c r="B17" s="13">
        <v>550</v>
      </c>
      <c r="C17" s="13" t="s">
        <v>62</v>
      </c>
      <c r="D17" s="13" t="s">
        <v>57</v>
      </c>
      <c r="E17" s="14" t="s">
        <v>58</v>
      </c>
      <c r="F17" s="15" t="s">
        <v>59</v>
      </c>
      <c r="G17" s="15" t="s">
        <v>60</v>
      </c>
      <c r="H17" s="14"/>
      <c r="I17" s="14" t="s">
        <v>61</v>
      </c>
      <c r="J17" s="14"/>
      <c r="K17" s="16">
        <f>IFERROR(B17*IF(J17&lt;&gt;"",J17,VLOOKUP(E17,Stage_Pricing_Ladder!$A$4:$C$10,3,FALSE())),"")</f>
        <v>137500</v>
      </c>
      <c r="L17" s="14"/>
      <c r="M17" s="16">
        <f t="shared" si="0"/>
        <v>137500</v>
      </c>
      <c r="N17" s="14" t="s">
        <v>61</v>
      </c>
      <c r="O17" s="14"/>
      <c r="P17" s="14"/>
    </row>
    <row r="18" spans="1:16" x14ac:dyDescent="0.35">
      <c r="A18" s="13">
        <v>347</v>
      </c>
      <c r="B18" s="13">
        <v>540</v>
      </c>
      <c r="C18" s="13" t="s">
        <v>62</v>
      </c>
      <c r="D18" s="13" t="s">
        <v>57</v>
      </c>
      <c r="E18" s="14" t="s">
        <v>58</v>
      </c>
      <c r="F18" s="15" t="s">
        <v>59</v>
      </c>
      <c r="G18" s="15" t="s">
        <v>60</v>
      </c>
      <c r="H18" s="14"/>
      <c r="I18" s="14" t="s">
        <v>61</v>
      </c>
      <c r="J18" s="14"/>
      <c r="K18" s="16">
        <f>IFERROR(B18*IF(J18&lt;&gt;"",J18,VLOOKUP(E18,Stage_Pricing_Ladder!$A$4:$C$10,3,FALSE())),"")</f>
        <v>135000</v>
      </c>
      <c r="L18" s="14"/>
      <c r="M18" s="16">
        <f t="shared" si="0"/>
        <v>135000</v>
      </c>
      <c r="N18" s="14" t="s">
        <v>61</v>
      </c>
      <c r="O18" s="14"/>
      <c r="P18" s="14"/>
    </row>
    <row r="19" spans="1:16" x14ac:dyDescent="0.35">
      <c r="A19" s="13">
        <v>348</v>
      </c>
      <c r="B19" s="13">
        <v>530</v>
      </c>
      <c r="C19" s="13" t="s">
        <v>62</v>
      </c>
      <c r="D19" s="13" t="s">
        <v>57</v>
      </c>
      <c r="E19" s="14" t="s">
        <v>58</v>
      </c>
      <c r="F19" s="15" t="s">
        <v>59</v>
      </c>
      <c r="G19" s="15" t="s">
        <v>60</v>
      </c>
      <c r="H19" s="14"/>
      <c r="I19" s="14" t="s">
        <v>61</v>
      </c>
      <c r="J19" s="14"/>
      <c r="K19" s="16">
        <f>IFERROR(B19*IF(J19&lt;&gt;"",J19,VLOOKUP(E19,Stage_Pricing_Ladder!$A$4:$C$10,3,FALSE())),"")</f>
        <v>132500</v>
      </c>
      <c r="L19" s="14"/>
      <c r="M19" s="16">
        <f t="shared" si="0"/>
        <v>132500</v>
      </c>
      <c r="N19" s="14" t="s">
        <v>61</v>
      </c>
      <c r="O19" s="14"/>
      <c r="P19" s="14"/>
    </row>
    <row r="20" spans="1:16" x14ac:dyDescent="0.35">
      <c r="A20" s="13">
        <v>349</v>
      </c>
      <c r="B20" s="13">
        <v>520</v>
      </c>
      <c r="C20" s="13" t="s">
        <v>62</v>
      </c>
      <c r="D20" s="13" t="s">
        <v>57</v>
      </c>
      <c r="E20" s="14" t="s">
        <v>58</v>
      </c>
      <c r="F20" s="15" t="s">
        <v>59</v>
      </c>
      <c r="G20" s="15" t="s">
        <v>60</v>
      </c>
      <c r="H20" s="14"/>
      <c r="I20" s="14" t="s">
        <v>61</v>
      </c>
      <c r="J20" s="14"/>
      <c r="K20" s="16">
        <f>IFERROR(B20*IF(J20&lt;&gt;"",J20,VLOOKUP(E20,Stage_Pricing_Ladder!$A$4:$C$10,3,FALSE())),"")</f>
        <v>130000</v>
      </c>
      <c r="L20" s="14"/>
      <c r="M20" s="16">
        <f t="shared" si="0"/>
        <v>130000</v>
      </c>
      <c r="N20" s="14" t="s">
        <v>61</v>
      </c>
      <c r="O20" s="14"/>
      <c r="P20" s="14"/>
    </row>
    <row r="21" spans="1:16" x14ac:dyDescent="0.35">
      <c r="A21" s="13">
        <v>350</v>
      </c>
      <c r="B21" s="13">
        <v>510</v>
      </c>
      <c r="C21" s="13" t="s">
        <v>62</v>
      </c>
      <c r="D21" s="13" t="s">
        <v>57</v>
      </c>
      <c r="E21" s="14" t="s">
        <v>58</v>
      </c>
      <c r="F21" s="15" t="s">
        <v>59</v>
      </c>
      <c r="G21" s="15" t="s">
        <v>60</v>
      </c>
      <c r="H21" s="14"/>
      <c r="I21" s="14" t="s">
        <v>61</v>
      </c>
      <c r="J21" s="14"/>
      <c r="K21" s="16">
        <f>IFERROR(B21*IF(J21&lt;&gt;"",J21,VLOOKUP(E21,Stage_Pricing_Ladder!$A$4:$C$10,3,FALSE())),"")</f>
        <v>127500</v>
      </c>
      <c r="L21" s="14"/>
      <c r="M21" s="16">
        <f t="shared" si="0"/>
        <v>127500</v>
      </c>
      <c r="N21" s="14" t="s">
        <v>61</v>
      </c>
      <c r="O21" s="14"/>
      <c r="P21" s="14"/>
    </row>
    <row r="22" spans="1:16" x14ac:dyDescent="0.35">
      <c r="A22" s="13">
        <v>351</v>
      </c>
      <c r="B22" s="13">
        <v>500</v>
      </c>
      <c r="C22" s="13" t="s">
        <v>62</v>
      </c>
      <c r="D22" s="13" t="s">
        <v>57</v>
      </c>
      <c r="E22" s="14" t="s">
        <v>58</v>
      </c>
      <c r="F22" s="15" t="s">
        <v>59</v>
      </c>
      <c r="G22" s="15" t="s">
        <v>60</v>
      </c>
      <c r="H22" s="14"/>
      <c r="I22" s="14" t="s">
        <v>61</v>
      </c>
      <c r="J22" s="14"/>
      <c r="K22" s="16">
        <f>IFERROR(B22*IF(J22&lt;&gt;"",J22,VLOOKUP(E22,Stage_Pricing_Ladder!$A$4:$C$10,3,FALSE())),"")</f>
        <v>125000</v>
      </c>
      <c r="L22" s="14"/>
      <c r="M22" s="16">
        <f t="shared" si="0"/>
        <v>125000</v>
      </c>
      <c r="N22" s="14" t="s">
        <v>61</v>
      </c>
      <c r="O22" s="14"/>
      <c r="P22" s="14"/>
    </row>
    <row r="23" spans="1:16" x14ac:dyDescent="0.35">
      <c r="A23" s="13">
        <v>236</v>
      </c>
      <c r="B23" s="13">
        <v>720</v>
      </c>
      <c r="C23" s="13" t="s">
        <v>56</v>
      </c>
      <c r="D23" s="13" t="s">
        <v>63</v>
      </c>
      <c r="E23" s="14" t="s">
        <v>58</v>
      </c>
      <c r="F23" s="15" t="s">
        <v>59</v>
      </c>
      <c r="G23" s="15" t="s">
        <v>60</v>
      </c>
      <c r="H23" s="14"/>
      <c r="I23" s="14" t="s">
        <v>61</v>
      </c>
      <c r="J23" s="14"/>
      <c r="K23" s="16">
        <f>IFERROR(B23*IF(J23&lt;&gt;"",J23,VLOOKUP(E23,Stage_Pricing_Ladder!$A$4:$C$10,3,FALSE())),"")</f>
        <v>180000</v>
      </c>
      <c r="L23" s="14"/>
      <c r="M23" s="16">
        <f t="shared" si="0"/>
        <v>180000</v>
      </c>
      <c r="N23" s="14" t="s">
        <v>61</v>
      </c>
      <c r="O23" s="14"/>
      <c r="P23" s="14"/>
    </row>
    <row r="24" spans="1:16" x14ac:dyDescent="0.35">
      <c r="A24" s="13">
        <v>237</v>
      </c>
      <c r="B24" s="13">
        <v>715</v>
      </c>
      <c r="C24" s="13" t="s">
        <v>56</v>
      </c>
      <c r="D24" s="13" t="s">
        <v>63</v>
      </c>
      <c r="E24" s="14" t="s">
        <v>58</v>
      </c>
      <c r="F24" s="15" t="s">
        <v>59</v>
      </c>
      <c r="G24" s="15" t="s">
        <v>60</v>
      </c>
      <c r="H24" s="14"/>
      <c r="I24" s="14" t="s">
        <v>61</v>
      </c>
      <c r="J24" s="14"/>
      <c r="K24" s="16">
        <f>IFERROR(B24*IF(J24&lt;&gt;"",J24,VLOOKUP(E24,Stage_Pricing_Ladder!$A$4:$C$10,3,FALSE())),"")</f>
        <v>178750</v>
      </c>
      <c r="L24" s="14"/>
      <c r="M24" s="16">
        <f t="shared" si="0"/>
        <v>178750</v>
      </c>
      <c r="N24" s="14" t="s">
        <v>61</v>
      </c>
      <c r="O24" s="14"/>
      <c r="P24" s="14"/>
    </row>
    <row r="25" spans="1:16" x14ac:dyDescent="0.35">
      <c r="A25" s="13">
        <v>238</v>
      </c>
      <c r="B25" s="13">
        <v>710</v>
      </c>
      <c r="C25" s="13" t="s">
        <v>56</v>
      </c>
      <c r="D25" s="13" t="s">
        <v>63</v>
      </c>
      <c r="E25" s="14" t="s">
        <v>58</v>
      </c>
      <c r="F25" s="15" t="s">
        <v>59</v>
      </c>
      <c r="G25" s="15" t="s">
        <v>60</v>
      </c>
      <c r="H25" s="14"/>
      <c r="I25" s="14" t="s">
        <v>61</v>
      </c>
      <c r="J25" s="14"/>
      <c r="K25" s="16">
        <f>IFERROR(B25*IF(J25&lt;&gt;"",J25,VLOOKUP(E25,Stage_Pricing_Ladder!$A$4:$C$10,3,FALSE())),"")</f>
        <v>177500</v>
      </c>
      <c r="L25" s="14"/>
      <c r="M25" s="16">
        <f t="shared" si="0"/>
        <v>177500</v>
      </c>
      <c r="N25" s="14" t="s">
        <v>61</v>
      </c>
      <c r="O25" s="14"/>
      <c r="P25" s="14"/>
    </row>
    <row r="26" spans="1:16" x14ac:dyDescent="0.35">
      <c r="A26" s="13">
        <v>323</v>
      </c>
      <c r="B26" s="13">
        <v>1522</v>
      </c>
      <c r="C26" s="13" t="s">
        <v>64</v>
      </c>
      <c r="D26" s="13" t="s">
        <v>65</v>
      </c>
      <c r="E26" s="14" t="s">
        <v>66</v>
      </c>
      <c r="F26" s="15" t="s">
        <v>59</v>
      </c>
      <c r="G26" s="15" t="s">
        <v>60</v>
      </c>
      <c r="H26" s="14"/>
      <c r="I26" s="14" t="s">
        <v>61</v>
      </c>
      <c r="J26" s="14"/>
      <c r="K26" s="16">
        <f>IFERROR(B26*IF(J26&lt;&gt;"",J26,VLOOKUP(E26,Stage_Pricing_Ladder!$A$4:$C$10,3,FALSE())),"")</f>
        <v>403330</v>
      </c>
      <c r="L26" s="14"/>
      <c r="M26" s="16">
        <f t="shared" si="0"/>
        <v>403330</v>
      </c>
      <c r="N26" s="14" t="s">
        <v>61</v>
      </c>
      <c r="O26" s="14"/>
      <c r="P26" s="14"/>
    </row>
    <row r="27" spans="1:16" x14ac:dyDescent="0.35">
      <c r="A27" s="13">
        <v>260</v>
      </c>
      <c r="B27" s="13">
        <v>600</v>
      </c>
      <c r="C27" s="13" t="s">
        <v>62</v>
      </c>
      <c r="D27" s="13" t="s">
        <v>67</v>
      </c>
      <c r="E27" s="14" t="s">
        <v>68</v>
      </c>
      <c r="F27" s="15" t="s">
        <v>59</v>
      </c>
      <c r="G27" s="15" t="s">
        <v>60</v>
      </c>
      <c r="H27" s="14"/>
      <c r="I27" s="14" t="s">
        <v>61</v>
      </c>
      <c r="J27" s="14"/>
      <c r="K27" s="16">
        <f>IFERROR(B27*IF(J27&lt;&gt;"",J27,VLOOKUP(E27,Stage_Pricing_Ladder!$A$4:$C$10,3,FALSE())),"")</f>
        <v>168000</v>
      </c>
      <c r="L27" s="14"/>
      <c r="M27" s="16">
        <f t="shared" si="0"/>
        <v>168000</v>
      </c>
      <c r="N27" s="14" t="s">
        <v>61</v>
      </c>
      <c r="O27" s="14"/>
      <c r="P27" s="14"/>
    </row>
    <row r="28" spans="1:16" x14ac:dyDescent="0.35">
      <c r="A28" s="13">
        <v>261</v>
      </c>
      <c r="B28" s="13">
        <v>630</v>
      </c>
      <c r="C28" s="13" t="s">
        <v>62</v>
      </c>
      <c r="D28" s="13" t="s">
        <v>67</v>
      </c>
      <c r="E28" s="14" t="s">
        <v>68</v>
      </c>
      <c r="F28" s="15" t="s">
        <v>59</v>
      </c>
      <c r="G28" s="15" t="s">
        <v>60</v>
      </c>
      <c r="H28" s="14"/>
      <c r="I28" s="14" t="s">
        <v>61</v>
      </c>
      <c r="J28" s="14"/>
      <c r="K28" s="16">
        <f>IFERROR(B28*IF(J28&lt;&gt;"",J28,VLOOKUP(E28,Stage_Pricing_Ladder!$A$4:$C$10,3,FALSE())),"")</f>
        <v>176400</v>
      </c>
      <c r="L28" s="14"/>
      <c r="M28" s="16">
        <f t="shared" si="0"/>
        <v>176400</v>
      </c>
      <c r="N28" s="14" t="s">
        <v>61</v>
      </c>
      <c r="O28" s="14"/>
      <c r="P28" s="14"/>
    </row>
    <row r="29" spans="1:16" x14ac:dyDescent="0.35">
      <c r="A29" s="13">
        <v>262</v>
      </c>
      <c r="B29" s="13">
        <v>660</v>
      </c>
      <c r="C29" s="13" t="s">
        <v>62</v>
      </c>
      <c r="D29" s="13" t="s">
        <v>67</v>
      </c>
      <c r="E29" s="14" t="s">
        <v>68</v>
      </c>
      <c r="F29" s="15" t="s">
        <v>59</v>
      </c>
      <c r="G29" s="15" t="s">
        <v>60</v>
      </c>
      <c r="H29" s="14"/>
      <c r="I29" s="14" t="s">
        <v>61</v>
      </c>
      <c r="J29" s="14"/>
      <c r="K29" s="16">
        <f>IFERROR(B29*IF(J29&lt;&gt;"",J29,VLOOKUP(E29,Stage_Pricing_Ladder!$A$4:$C$10,3,FALSE())),"")</f>
        <v>184800</v>
      </c>
      <c r="L29" s="14"/>
      <c r="M29" s="16">
        <f t="shared" si="0"/>
        <v>184800</v>
      </c>
      <c r="N29" s="14" t="s">
        <v>61</v>
      </c>
      <c r="O29" s="14"/>
      <c r="P29" s="14"/>
    </row>
    <row r="30" spans="1:16" x14ac:dyDescent="0.35">
      <c r="A30" s="13">
        <v>263</v>
      </c>
      <c r="B30" s="13">
        <v>690</v>
      </c>
      <c r="C30" s="13" t="s">
        <v>62</v>
      </c>
      <c r="D30" s="13" t="s">
        <v>67</v>
      </c>
      <c r="E30" s="14" t="s">
        <v>68</v>
      </c>
      <c r="F30" s="15" t="s">
        <v>59</v>
      </c>
      <c r="G30" s="15" t="s">
        <v>60</v>
      </c>
      <c r="H30" s="14"/>
      <c r="I30" s="14" t="s">
        <v>61</v>
      </c>
      <c r="J30" s="14"/>
      <c r="K30" s="16">
        <f>IFERROR(B30*IF(J30&lt;&gt;"",J30,VLOOKUP(E30,Stage_Pricing_Ladder!$A$4:$C$10,3,FALSE())),"")</f>
        <v>193200</v>
      </c>
      <c r="L30" s="14"/>
      <c r="M30" s="16">
        <f t="shared" si="0"/>
        <v>193200</v>
      </c>
      <c r="N30" s="14" t="s">
        <v>61</v>
      </c>
      <c r="O30" s="14"/>
      <c r="P30" s="14"/>
    </row>
    <row r="31" spans="1:16" x14ac:dyDescent="0.35">
      <c r="A31" s="13">
        <v>264</v>
      </c>
      <c r="B31" s="13">
        <v>720</v>
      </c>
      <c r="C31" s="13" t="s">
        <v>62</v>
      </c>
      <c r="D31" s="13" t="s">
        <v>67</v>
      </c>
      <c r="E31" s="14" t="s">
        <v>68</v>
      </c>
      <c r="F31" s="15" t="s">
        <v>59</v>
      </c>
      <c r="G31" s="15" t="s">
        <v>60</v>
      </c>
      <c r="H31" s="14"/>
      <c r="I31" s="14" t="s">
        <v>61</v>
      </c>
      <c r="J31" s="14"/>
      <c r="K31" s="16">
        <f>IFERROR(B31*IF(J31&lt;&gt;"",J31,VLOOKUP(E31,Stage_Pricing_Ladder!$A$4:$C$10,3,FALSE())),"")</f>
        <v>201600</v>
      </c>
      <c r="L31" s="14"/>
      <c r="M31" s="16">
        <f t="shared" si="0"/>
        <v>201600</v>
      </c>
      <c r="N31" s="14" t="s">
        <v>61</v>
      </c>
      <c r="O31" s="14"/>
      <c r="P31" s="14"/>
    </row>
    <row r="32" spans="1:16" x14ac:dyDescent="0.35">
      <c r="A32" s="13">
        <v>265</v>
      </c>
      <c r="B32" s="13">
        <v>600</v>
      </c>
      <c r="C32" s="13" t="s">
        <v>62</v>
      </c>
      <c r="D32" s="13" t="s">
        <v>67</v>
      </c>
      <c r="E32" s="14" t="s">
        <v>68</v>
      </c>
      <c r="F32" s="15" t="s">
        <v>59</v>
      </c>
      <c r="G32" s="15" t="s">
        <v>60</v>
      </c>
      <c r="H32" s="14"/>
      <c r="I32" s="14" t="s">
        <v>61</v>
      </c>
      <c r="J32" s="14"/>
      <c r="K32" s="16">
        <f>IFERROR(B32*IF(J32&lt;&gt;"",J32,VLOOKUP(E32,Stage_Pricing_Ladder!$A$4:$C$10,3,FALSE())),"")</f>
        <v>168000</v>
      </c>
      <c r="L32" s="14"/>
      <c r="M32" s="16">
        <f t="shared" si="0"/>
        <v>168000</v>
      </c>
      <c r="N32" s="14" t="s">
        <v>61</v>
      </c>
      <c r="O32" s="14"/>
      <c r="P32" s="14"/>
    </row>
    <row r="33" spans="1:16" x14ac:dyDescent="0.35">
      <c r="A33" s="13">
        <v>266</v>
      </c>
      <c r="B33" s="13">
        <v>630</v>
      </c>
      <c r="C33" s="13" t="s">
        <v>62</v>
      </c>
      <c r="D33" s="13" t="s">
        <v>67</v>
      </c>
      <c r="E33" s="14" t="s">
        <v>68</v>
      </c>
      <c r="F33" s="15" t="s">
        <v>59</v>
      </c>
      <c r="G33" s="15" t="s">
        <v>60</v>
      </c>
      <c r="H33" s="14"/>
      <c r="I33" s="14" t="s">
        <v>61</v>
      </c>
      <c r="J33" s="14"/>
      <c r="K33" s="16">
        <f>IFERROR(B33*IF(J33&lt;&gt;"",J33,VLOOKUP(E33,Stage_Pricing_Ladder!$A$4:$C$10,3,FALSE())),"")</f>
        <v>176400</v>
      </c>
      <c r="L33" s="14"/>
      <c r="M33" s="16">
        <f t="shared" si="0"/>
        <v>176400</v>
      </c>
      <c r="N33" s="14" t="s">
        <v>61</v>
      </c>
      <c r="O33" s="14"/>
      <c r="P33" s="14"/>
    </row>
    <row r="34" spans="1:16" x14ac:dyDescent="0.35">
      <c r="A34" s="13">
        <v>267</v>
      </c>
      <c r="B34" s="13">
        <v>660</v>
      </c>
      <c r="C34" s="13" t="s">
        <v>62</v>
      </c>
      <c r="D34" s="13" t="s">
        <v>67</v>
      </c>
      <c r="E34" s="14" t="s">
        <v>68</v>
      </c>
      <c r="F34" s="15" t="s">
        <v>59</v>
      </c>
      <c r="G34" s="15" t="s">
        <v>60</v>
      </c>
      <c r="H34" s="14"/>
      <c r="I34" s="14" t="s">
        <v>61</v>
      </c>
      <c r="J34" s="14"/>
      <c r="K34" s="16">
        <f>IFERROR(B34*IF(J34&lt;&gt;"",J34,VLOOKUP(E34,Stage_Pricing_Ladder!$A$4:$C$10,3,FALSE())),"")</f>
        <v>184800</v>
      </c>
      <c r="L34" s="14"/>
      <c r="M34" s="16">
        <f t="shared" si="0"/>
        <v>184800</v>
      </c>
      <c r="N34" s="14" t="s">
        <v>61</v>
      </c>
      <c r="O34" s="14"/>
      <c r="P34" s="14"/>
    </row>
    <row r="35" spans="1:16" x14ac:dyDescent="0.35">
      <c r="A35" s="13">
        <v>268</v>
      </c>
      <c r="B35" s="13">
        <v>690</v>
      </c>
      <c r="C35" s="13" t="s">
        <v>62</v>
      </c>
      <c r="D35" s="13" t="s">
        <v>67</v>
      </c>
      <c r="E35" s="14" t="s">
        <v>68</v>
      </c>
      <c r="F35" s="15" t="s">
        <v>59</v>
      </c>
      <c r="G35" s="15" t="s">
        <v>60</v>
      </c>
      <c r="H35" s="14"/>
      <c r="I35" s="14" t="s">
        <v>61</v>
      </c>
      <c r="J35" s="14"/>
      <c r="K35" s="16">
        <f>IFERROR(B35*IF(J35&lt;&gt;"",J35,VLOOKUP(E35,Stage_Pricing_Ladder!$A$4:$C$10,3,FALSE())),"")</f>
        <v>193200</v>
      </c>
      <c r="L35" s="14"/>
      <c r="M35" s="16">
        <f t="shared" ref="M35:M66" si="1">IFERROR(K35+IF(L35="",0,L35),"")</f>
        <v>193200</v>
      </c>
      <c r="N35" s="14" t="s">
        <v>61</v>
      </c>
      <c r="O35" s="14"/>
      <c r="P35" s="14"/>
    </row>
    <row r="36" spans="1:16" x14ac:dyDescent="0.35">
      <c r="A36" s="13">
        <v>269</v>
      </c>
      <c r="B36" s="13">
        <v>720</v>
      </c>
      <c r="C36" s="13" t="s">
        <v>62</v>
      </c>
      <c r="D36" s="13" t="s">
        <v>67</v>
      </c>
      <c r="E36" s="14" t="s">
        <v>68</v>
      </c>
      <c r="F36" s="15" t="s">
        <v>59</v>
      </c>
      <c r="G36" s="15" t="s">
        <v>60</v>
      </c>
      <c r="H36" s="14"/>
      <c r="I36" s="14" t="s">
        <v>61</v>
      </c>
      <c r="J36" s="14"/>
      <c r="K36" s="16">
        <f>IFERROR(B36*IF(J36&lt;&gt;"",J36,VLOOKUP(E36,Stage_Pricing_Ladder!$A$4:$C$10,3,FALSE())),"")</f>
        <v>201600</v>
      </c>
      <c r="L36" s="14"/>
      <c r="M36" s="16">
        <f t="shared" si="1"/>
        <v>201600</v>
      </c>
      <c r="N36" s="14" t="s">
        <v>61</v>
      </c>
      <c r="O36" s="14"/>
      <c r="P36" s="14"/>
    </row>
    <row r="37" spans="1:16" x14ac:dyDescent="0.35">
      <c r="A37" s="13">
        <v>270</v>
      </c>
      <c r="B37" s="13">
        <v>600</v>
      </c>
      <c r="C37" s="13" t="s">
        <v>62</v>
      </c>
      <c r="D37" s="13" t="s">
        <v>67</v>
      </c>
      <c r="E37" s="14" t="s">
        <v>68</v>
      </c>
      <c r="F37" s="15" t="s">
        <v>59</v>
      </c>
      <c r="G37" s="15" t="s">
        <v>60</v>
      </c>
      <c r="H37" s="14"/>
      <c r="I37" s="14" t="s">
        <v>61</v>
      </c>
      <c r="J37" s="14"/>
      <c r="K37" s="16">
        <f>IFERROR(B37*IF(J37&lt;&gt;"",J37,VLOOKUP(E37,Stage_Pricing_Ladder!$A$4:$C$10,3,FALSE())),"")</f>
        <v>168000</v>
      </c>
      <c r="L37" s="14"/>
      <c r="M37" s="16">
        <f t="shared" si="1"/>
        <v>168000</v>
      </c>
      <c r="N37" s="14" t="s">
        <v>61</v>
      </c>
      <c r="O37" s="14"/>
      <c r="P37" s="14"/>
    </row>
    <row r="38" spans="1:16" x14ac:dyDescent="0.35">
      <c r="A38" s="13">
        <v>271</v>
      </c>
      <c r="B38" s="13">
        <v>630</v>
      </c>
      <c r="C38" s="13" t="s">
        <v>62</v>
      </c>
      <c r="D38" s="13" t="s">
        <v>67</v>
      </c>
      <c r="E38" s="14" t="s">
        <v>68</v>
      </c>
      <c r="F38" s="15" t="s">
        <v>59</v>
      </c>
      <c r="G38" s="15" t="s">
        <v>60</v>
      </c>
      <c r="H38" s="14"/>
      <c r="I38" s="14" t="s">
        <v>61</v>
      </c>
      <c r="J38" s="14"/>
      <c r="K38" s="16">
        <f>IFERROR(B38*IF(J38&lt;&gt;"",J38,VLOOKUP(E38,Stage_Pricing_Ladder!$A$4:$C$10,3,FALSE())),"")</f>
        <v>176400</v>
      </c>
      <c r="L38" s="14"/>
      <c r="M38" s="16">
        <f t="shared" si="1"/>
        <v>176400</v>
      </c>
      <c r="N38" s="14" t="s">
        <v>61</v>
      </c>
      <c r="O38" s="14"/>
      <c r="P38" s="14"/>
    </row>
    <row r="39" spans="1:16" x14ac:dyDescent="0.35">
      <c r="A39" s="13">
        <v>272</v>
      </c>
      <c r="B39" s="13">
        <v>660</v>
      </c>
      <c r="C39" s="13" t="s">
        <v>62</v>
      </c>
      <c r="D39" s="13" t="s">
        <v>67</v>
      </c>
      <c r="E39" s="14" t="s">
        <v>68</v>
      </c>
      <c r="F39" s="15" t="s">
        <v>59</v>
      </c>
      <c r="G39" s="15" t="s">
        <v>60</v>
      </c>
      <c r="H39" s="14"/>
      <c r="I39" s="14" t="s">
        <v>61</v>
      </c>
      <c r="J39" s="14"/>
      <c r="K39" s="16">
        <f>IFERROR(B39*IF(J39&lt;&gt;"",J39,VLOOKUP(E39,Stage_Pricing_Ladder!$A$4:$C$10,3,FALSE())),"")</f>
        <v>184800</v>
      </c>
      <c r="L39" s="14"/>
      <c r="M39" s="16">
        <f t="shared" si="1"/>
        <v>184800</v>
      </c>
      <c r="N39" s="14" t="s">
        <v>61</v>
      </c>
      <c r="O39" s="14"/>
      <c r="P39" s="14"/>
    </row>
    <row r="40" spans="1:16" x14ac:dyDescent="0.35">
      <c r="A40" s="13">
        <v>273</v>
      </c>
      <c r="B40" s="13">
        <v>690</v>
      </c>
      <c r="C40" s="13" t="s">
        <v>62</v>
      </c>
      <c r="D40" s="13" t="s">
        <v>67</v>
      </c>
      <c r="E40" s="14" t="s">
        <v>68</v>
      </c>
      <c r="F40" s="15" t="s">
        <v>59</v>
      </c>
      <c r="G40" s="15" t="s">
        <v>60</v>
      </c>
      <c r="H40" s="14"/>
      <c r="I40" s="14" t="s">
        <v>61</v>
      </c>
      <c r="J40" s="14"/>
      <c r="K40" s="16">
        <f>IFERROR(B40*IF(J40&lt;&gt;"",J40,VLOOKUP(E40,Stage_Pricing_Ladder!$A$4:$C$10,3,FALSE())),"")</f>
        <v>193200</v>
      </c>
      <c r="L40" s="14"/>
      <c r="M40" s="16">
        <f t="shared" si="1"/>
        <v>193200</v>
      </c>
      <c r="N40" s="14" t="s">
        <v>61</v>
      </c>
      <c r="O40" s="14"/>
      <c r="P40" s="14"/>
    </row>
    <row r="41" spans="1:16" x14ac:dyDescent="0.35">
      <c r="A41" s="13">
        <v>274</v>
      </c>
      <c r="B41" s="13">
        <v>720</v>
      </c>
      <c r="C41" s="13" t="s">
        <v>62</v>
      </c>
      <c r="D41" s="13" t="s">
        <v>67</v>
      </c>
      <c r="E41" s="14" t="s">
        <v>68</v>
      </c>
      <c r="F41" s="15" t="s">
        <v>59</v>
      </c>
      <c r="G41" s="15" t="s">
        <v>60</v>
      </c>
      <c r="H41" s="14"/>
      <c r="I41" s="14" t="s">
        <v>61</v>
      </c>
      <c r="J41" s="14"/>
      <c r="K41" s="16">
        <f>IFERROR(B41*IF(J41&lt;&gt;"",J41,VLOOKUP(E41,Stage_Pricing_Ladder!$A$4:$C$10,3,FALSE())),"")</f>
        <v>201600</v>
      </c>
      <c r="L41" s="14"/>
      <c r="M41" s="16">
        <f t="shared" si="1"/>
        <v>201600</v>
      </c>
      <c r="N41" s="14" t="s">
        <v>61</v>
      </c>
      <c r="O41" s="14"/>
      <c r="P41" s="14"/>
    </row>
    <row r="42" spans="1:16" x14ac:dyDescent="0.35">
      <c r="A42" s="13">
        <v>275</v>
      </c>
      <c r="B42" s="13">
        <v>600</v>
      </c>
      <c r="C42" s="13" t="s">
        <v>62</v>
      </c>
      <c r="D42" s="13" t="s">
        <v>67</v>
      </c>
      <c r="E42" s="14" t="s">
        <v>68</v>
      </c>
      <c r="F42" s="15" t="s">
        <v>59</v>
      </c>
      <c r="G42" s="15" t="s">
        <v>60</v>
      </c>
      <c r="H42" s="14"/>
      <c r="I42" s="14" t="s">
        <v>61</v>
      </c>
      <c r="J42" s="14"/>
      <c r="K42" s="16">
        <f>IFERROR(B42*IF(J42&lt;&gt;"",J42,VLOOKUP(E42,Stage_Pricing_Ladder!$A$4:$C$10,3,FALSE())),"")</f>
        <v>168000</v>
      </c>
      <c r="L42" s="14"/>
      <c r="M42" s="16">
        <f t="shared" si="1"/>
        <v>168000</v>
      </c>
      <c r="N42" s="14" t="s">
        <v>61</v>
      </c>
      <c r="O42" s="14"/>
      <c r="P42" s="14"/>
    </row>
    <row r="43" spans="1:16" x14ac:dyDescent="0.35">
      <c r="A43" s="13">
        <v>276</v>
      </c>
      <c r="B43" s="13">
        <v>630</v>
      </c>
      <c r="C43" s="13" t="s">
        <v>62</v>
      </c>
      <c r="D43" s="13" t="s">
        <v>67</v>
      </c>
      <c r="E43" s="14" t="s">
        <v>68</v>
      </c>
      <c r="F43" s="15" t="s">
        <v>59</v>
      </c>
      <c r="G43" s="15" t="s">
        <v>60</v>
      </c>
      <c r="H43" s="14"/>
      <c r="I43" s="14" t="s">
        <v>61</v>
      </c>
      <c r="J43" s="14"/>
      <c r="K43" s="16">
        <f>IFERROR(B43*IF(J43&lt;&gt;"",J43,VLOOKUP(E43,Stage_Pricing_Ladder!$A$4:$C$10,3,FALSE())),"")</f>
        <v>176400</v>
      </c>
      <c r="L43" s="14"/>
      <c r="M43" s="16">
        <f t="shared" si="1"/>
        <v>176400</v>
      </c>
      <c r="N43" s="14" t="s">
        <v>61</v>
      </c>
      <c r="O43" s="14"/>
      <c r="P43" s="14"/>
    </row>
    <row r="44" spans="1:16" x14ac:dyDescent="0.35">
      <c r="A44" s="13">
        <v>277</v>
      </c>
      <c r="B44" s="13">
        <v>660</v>
      </c>
      <c r="C44" s="13" t="s">
        <v>62</v>
      </c>
      <c r="D44" s="13" t="s">
        <v>67</v>
      </c>
      <c r="E44" s="14" t="s">
        <v>68</v>
      </c>
      <c r="F44" s="15" t="s">
        <v>59</v>
      </c>
      <c r="G44" s="15" t="s">
        <v>60</v>
      </c>
      <c r="H44" s="14"/>
      <c r="I44" s="14" t="s">
        <v>61</v>
      </c>
      <c r="J44" s="14"/>
      <c r="K44" s="16">
        <f>IFERROR(B44*IF(J44&lt;&gt;"",J44,VLOOKUP(E44,Stage_Pricing_Ladder!$A$4:$C$10,3,FALSE())),"")</f>
        <v>184800</v>
      </c>
      <c r="L44" s="14"/>
      <c r="M44" s="16">
        <f t="shared" si="1"/>
        <v>184800</v>
      </c>
      <c r="N44" s="14" t="s">
        <v>61</v>
      </c>
      <c r="O44" s="14"/>
      <c r="P44" s="14"/>
    </row>
    <row r="45" spans="1:16" x14ac:dyDescent="0.35">
      <c r="A45" s="13">
        <v>278</v>
      </c>
      <c r="B45" s="13">
        <v>690</v>
      </c>
      <c r="C45" s="13" t="s">
        <v>62</v>
      </c>
      <c r="D45" s="13" t="s">
        <v>67</v>
      </c>
      <c r="E45" s="14" t="s">
        <v>68</v>
      </c>
      <c r="F45" s="15" t="s">
        <v>59</v>
      </c>
      <c r="G45" s="15" t="s">
        <v>60</v>
      </c>
      <c r="H45" s="14"/>
      <c r="I45" s="14" t="s">
        <v>61</v>
      </c>
      <c r="J45" s="14"/>
      <c r="K45" s="16">
        <f>IFERROR(B45*IF(J45&lt;&gt;"",J45,VLOOKUP(E45,Stage_Pricing_Ladder!$A$4:$C$10,3,FALSE())),"")</f>
        <v>193200</v>
      </c>
      <c r="L45" s="14"/>
      <c r="M45" s="16">
        <f t="shared" si="1"/>
        <v>193200</v>
      </c>
      <c r="N45" s="14" t="s">
        <v>61</v>
      </c>
      <c r="O45" s="14"/>
      <c r="P45" s="14"/>
    </row>
    <row r="46" spans="1:16" x14ac:dyDescent="0.35">
      <c r="A46" s="13">
        <v>279</v>
      </c>
      <c r="B46" s="13">
        <v>720</v>
      </c>
      <c r="C46" s="13" t="s">
        <v>62</v>
      </c>
      <c r="D46" s="13" t="s">
        <v>67</v>
      </c>
      <c r="E46" s="14" t="s">
        <v>68</v>
      </c>
      <c r="F46" s="15" t="s">
        <v>59</v>
      </c>
      <c r="G46" s="15" t="s">
        <v>60</v>
      </c>
      <c r="H46" s="14"/>
      <c r="I46" s="14" t="s">
        <v>61</v>
      </c>
      <c r="J46" s="14"/>
      <c r="K46" s="16">
        <f>IFERROR(B46*IF(J46&lt;&gt;"",J46,VLOOKUP(E46,Stage_Pricing_Ladder!$A$4:$C$10,3,FALSE())),"")</f>
        <v>201600</v>
      </c>
      <c r="L46" s="14"/>
      <c r="M46" s="16">
        <f t="shared" si="1"/>
        <v>201600</v>
      </c>
      <c r="N46" s="14" t="s">
        <v>61</v>
      </c>
      <c r="O46" s="14"/>
      <c r="P46" s="14"/>
    </row>
    <row r="47" spans="1:16" x14ac:dyDescent="0.35">
      <c r="A47" s="13">
        <v>280</v>
      </c>
      <c r="B47" s="13">
        <v>600</v>
      </c>
      <c r="C47" s="13" t="s">
        <v>62</v>
      </c>
      <c r="D47" s="13" t="s">
        <v>67</v>
      </c>
      <c r="E47" s="14" t="s">
        <v>68</v>
      </c>
      <c r="F47" s="15" t="s">
        <v>59</v>
      </c>
      <c r="G47" s="15" t="s">
        <v>60</v>
      </c>
      <c r="H47" s="14"/>
      <c r="I47" s="14" t="s">
        <v>61</v>
      </c>
      <c r="J47" s="14"/>
      <c r="K47" s="16">
        <f>IFERROR(B47*IF(J47&lt;&gt;"",J47,VLOOKUP(E47,Stage_Pricing_Ladder!$A$4:$C$10,3,FALSE())),"")</f>
        <v>168000</v>
      </c>
      <c r="L47" s="14"/>
      <c r="M47" s="16">
        <f t="shared" si="1"/>
        <v>168000</v>
      </c>
      <c r="N47" s="14" t="s">
        <v>61</v>
      </c>
      <c r="O47" s="14"/>
      <c r="P47" s="14"/>
    </row>
    <row r="48" spans="1:16" x14ac:dyDescent="0.35">
      <c r="A48" s="13">
        <v>281</v>
      </c>
      <c r="B48" s="13">
        <v>630</v>
      </c>
      <c r="C48" s="13" t="s">
        <v>62</v>
      </c>
      <c r="D48" s="13" t="s">
        <v>67</v>
      </c>
      <c r="E48" s="14" t="s">
        <v>68</v>
      </c>
      <c r="F48" s="15" t="s">
        <v>59</v>
      </c>
      <c r="G48" s="15" t="s">
        <v>60</v>
      </c>
      <c r="H48" s="14"/>
      <c r="I48" s="14" t="s">
        <v>61</v>
      </c>
      <c r="J48" s="14"/>
      <c r="K48" s="16">
        <f>IFERROR(B48*IF(J48&lt;&gt;"",J48,VLOOKUP(E48,Stage_Pricing_Ladder!$A$4:$C$10,3,FALSE())),"")</f>
        <v>176400</v>
      </c>
      <c r="L48" s="14"/>
      <c r="M48" s="16">
        <f t="shared" si="1"/>
        <v>176400</v>
      </c>
      <c r="N48" s="14" t="s">
        <v>61</v>
      </c>
      <c r="O48" s="14"/>
      <c r="P48" s="14"/>
    </row>
    <row r="49" spans="1:16" x14ac:dyDescent="0.35">
      <c r="A49" s="13">
        <v>282</v>
      </c>
      <c r="B49" s="13">
        <v>660</v>
      </c>
      <c r="C49" s="13" t="s">
        <v>62</v>
      </c>
      <c r="D49" s="13" t="s">
        <v>67</v>
      </c>
      <c r="E49" s="14" t="s">
        <v>68</v>
      </c>
      <c r="F49" s="15" t="s">
        <v>59</v>
      </c>
      <c r="G49" s="15" t="s">
        <v>60</v>
      </c>
      <c r="H49" s="14"/>
      <c r="I49" s="14" t="s">
        <v>61</v>
      </c>
      <c r="J49" s="14"/>
      <c r="K49" s="16">
        <f>IFERROR(B49*IF(J49&lt;&gt;"",J49,VLOOKUP(E49,Stage_Pricing_Ladder!$A$4:$C$10,3,FALSE())),"")</f>
        <v>184800</v>
      </c>
      <c r="L49" s="14"/>
      <c r="M49" s="16">
        <f t="shared" si="1"/>
        <v>184800</v>
      </c>
      <c r="N49" s="14" t="s">
        <v>61</v>
      </c>
      <c r="O49" s="14"/>
      <c r="P49" s="14"/>
    </row>
    <row r="50" spans="1:16" x14ac:dyDescent="0.35">
      <c r="A50" s="13">
        <v>283</v>
      </c>
      <c r="B50" s="13">
        <v>690</v>
      </c>
      <c r="C50" s="13" t="s">
        <v>62</v>
      </c>
      <c r="D50" s="13" t="s">
        <v>67</v>
      </c>
      <c r="E50" s="14" t="s">
        <v>68</v>
      </c>
      <c r="F50" s="15" t="s">
        <v>59</v>
      </c>
      <c r="G50" s="15" t="s">
        <v>60</v>
      </c>
      <c r="H50" s="14"/>
      <c r="I50" s="14" t="s">
        <v>61</v>
      </c>
      <c r="J50" s="14"/>
      <c r="K50" s="16">
        <f>IFERROR(B50*IF(J50&lt;&gt;"",J50,VLOOKUP(E50,Stage_Pricing_Ladder!$A$4:$C$10,3,FALSE())),"")</f>
        <v>193200</v>
      </c>
      <c r="L50" s="14"/>
      <c r="M50" s="16">
        <f t="shared" si="1"/>
        <v>193200</v>
      </c>
      <c r="N50" s="14" t="s">
        <v>61</v>
      </c>
      <c r="O50" s="14"/>
      <c r="P50" s="14"/>
    </row>
    <row r="51" spans="1:16" x14ac:dyDescent="0.35">
      <c r="A51" s="13">
        <v>284</v>
      </c>
      <c r="B51" s="13">
        <v>720</v>
      </c>
      <c r="C51" s="13" t="s">
        <v>62</v>
      </c>
      <c r="D51" s="13" t="s">
        <v>67</v>
      </c>
      <c r="E51" s="14" t="s">
        <v>68</v>
      </c>
      <c r="F51" s="15" t="s">
        <v>59</v>
      </c>
      <c r="G51" s="15" t="s">
        <v>60</v>
      </c>
      <c r="H51" s="14"/>
      <c r="I51" s="14" t="s">
        <v>61</v>
      </c>
      <c r="J51" s="14"/>
      <c r="K51" s="16">
        <f>IFERROR(B51*IF(J51&lt;&gt;"",J51,VLOOKUP(E51,Stage_Pricing_Ladder!$A$4:$C$10,3,FALSE())),"")</f>
        <v>201600</v>
      </c>
      <c r="L51" s="14"/>
      <c r="M51" s="16">
        <f t="shared" si="1"/>
        <v>201600</v>
      </c>
      <c r="N51" s="14" t="s">
        <v>61</v>
      </c>
      <c r="O51" s="14"/>
      <c r="P51" s="14"/>
    </row>
    <row r="52" spans="1:16" x14ac:dyDescent="0.35">
      <c r="A52" s="13">
        <v>285</v>
      </c>
      <c r="B52" s="13">
        <v>580</v>
      </c>
      <c r="C52" s="13" t="s">
        <v>62</v>
      </c>
      <c r="D52" s="13" t="s">
        <v>69</v>
      </c>
      <c r="E52" s="14" t="s">
        <v>70</v>
      </c>
      <c r="F52" s="15" t="s">
        <v>59</v>
      </c>
      <c r="G52" s="15" t="s">
        <v>60</v>
      </c>
      <c r="H52" s="14"/>
      <c r="I52" s="14" t="s">
        <v>61</v>
      </c>
      <c r="J52" s="14"/>
      <c r="K52" s="16">
        <f>IFERROR(B52*IF(J52&lt;&gt;"",J52,VLOOKUP(E52,Stage_Pricing_Ladder!$A$4:$C$10,3,FALSE())),"")</f>
        <v>171100</v>
      </c>
      <c r="L52" s="14"/>
      <c r="M52" s="16">
        <f t="shared" si="1"/>
        <v>171100</v>
      </c>
      <c r="N52" s="14" t="s">
        <v>61</v>
      </c>
      <c r="O52" s="14"/>
      <c r="P52" s="14"/>
    </row>
    <row r="53" spans="1:16" x14ac:dyDescent="0.35">
      <c r="A53" s="13">
        <v>286</v>
      </c>
      <c r="B53" s="13">
        <v>620</v>
      </c>
      <c r="C53" s="13" t="s">
        <v>62</v>
      </c>
      <c r="D53" s="13" t="s">
        <v>69</v>
      </c>
      <c r="E53" s="14" t="s">
        <v>70</v>
      </c>
      <c r="F53" s="15" t="s">
        <v>59</v>
      </c>
      <c r="G53" s="15" t="s">
        <v>60</v>
      </c>
      <c r="H53" s="14"/>
      <c r="I53" s="14" t="s">
        <v>61</v>
      </c>
      <c r="J53" s="14"/>
      <c r="K53" s="16">
        <f>IFERROR(B53*IF(J53&lt;&gt;"",J53,VLOOKUP(E53,Stage_Pricing_Ladder!$A$4:$C$10,3,FALSE())),"")</f>
        <v>182900</v>
      </c>
      <c r="L53" s="14"/>
      <c r="M53" s="16">
        <f t="shared" si="1"/>
        <v>182900</v>
      </c>
      <c r="N53" s="14" t="s">
        <v>61</v>
      </c>
      <c r="O53" s="14"/>
      <c r="P53" s="14"/>
    </row>
    <row r="54" spans="1:16" x14ac:dyDescent="0.35">
      <c r="A54" s="13">
        <v>287</v>
      </c>
      <c r="B54" s="13">
        <v>660</v>
      </c>
      <c r="C54" s="13" t="s">
        <v>62</v>
      </c>
      <c r="D54" s="13" t="s">
        <v>69</v>
      </c>
      <c r="E54" s="14" t="s">
        <v>70</v>
      </c>
      <c r="F54" s="15" t="s">
        <v>59</v>
      </c>
      <c r="G54" s="15" t="s">
        <v>60</v>
      </c>
      <c r="H54" s="14"/>
      <c r="I54" s="14" t="s">
        <v>61</v>
      </c>
      <c r="J54" s="14"/>
      <c r="K54" s="16">
        <f>IFERROR(B54*IF(J54&lt;&gt;"",J54,VLOOKUP(E54,Stage_Pricing_Ladder!$A$4:$C$10,3,FALSE())),"")</f>
        <v>194700</v>
      </c>
      <c r="L54" s="14"/>
      <c r="M54" s="16">
        <f t="shared" si="1"/>
        <v>194700</v>
      </c>
      <c r="N54" s="14" t="s">
        <v>61</v>
      </c>
      <c r="O54" s="14"/>
      <c r="P54" s="14"/>
    </row>
    <row r="55" spans="1:16" x14ac:dyDescent="0.35">
      <c r="A55" s="13">
        <v>288</v>
      </c>
      <c r="B55" s="13">
        <v>700</v>
      </c>
      <c r="C55" s="13" t="s">
        <v>62</v>
      </c>
      <c r="D55" s="13" t="s">
        <v>69</v>
      </c>
      <c r="E55" s="14" t="s">
        <v>70</v>
      </c>
      <c r="F55" s="15" t="s">
        <v>59</v>
      </c>
      <c r="G55" s="15" t="s">
        <v>60</v>
      </c>
      <c r="H55" s="14"/>
      <c r="I55" s="14" t="s">
        <v>61</v>
      </c>
      <c r="J55" s="14"/>
      <c r="K55" s="16">
        <f>IFERROR(B55*IF(J55&lt;&gt;"",J55,VLOOKUP(E55,Stage_Pricing_Ladder!$A$4:$C$10,3,FALSE())),"")</f>
        <v>206500</v>
      </c>
      <c r="L55" s="14"/>
      <c r="M55" s="16">
        <f t="shared" si="1"/>
        <v>206500</v>
      </c>
      <c r="N55" s="14" t="s">
        <v>61</v>
      </c>
      <c r="O55" s="14"/>
      <c r="P55" s="14"/>
    </row>
    <row r="56" spans="1:16" x14ac:dyDescent="0.35">
      <c r="A56" s="13">
        <v>289</v>
      </c>
      <c r="B56" s="13">
        <v>740</v>
      </c>
      <c r="C56" s="13" t="s">
        <v>62</v>
      </c>
      <c r="D56" s="13" t="s">
        <v>69</v>
      </c>
      <c r="E56" s="14" t="s">
        <v>70</v>
      </c>
      <c r="F56" s="15" t="s">
        <v>59</v>
      </c>
      <c r="G56" s="15" t="s">
        <v>60</v>
      </c>
      <c r="H56" s="14"/>
      <c r="I56" s="14" t="s">
        <v>61</v>
      </c>
      <c r="J56" s="14"/>
      <c r="K56" s="16">
        <f>IFERROR(B56*IF(J56&lt;&gt;"",J56,VLOOKUP(E56,Stage_Pricing_Ladder!$A$4:$C$10,3,FALSE())),"")</f>
        <v>218300</v>
      </c>
      <c r="L56" s="14"/>
      <c r="M56" s="16">
        <f t="shared" si="1"/>
        <v>218300</v>
      </c>
      <c r="N56" s="14" t="s">
        <v>61</v>
      </c>
      <c r="O56" s="14"/>
      <c r="P56" s="14"/>
    </row>
    <row r="57" spans="1:16" x14ac:dyDescent="0.35">
      <c r="A57" s="13">
        <v>290</v>
      </c>
      <c r="B57" s="13">
        <v>580</v>
      </c>
      <c r="C57" s="13" t="s">
        <v>62</v>
      </c>
      <c r="D57" s="13" t="s">
        <v>69</v>
      </c>
      <c r="E57" s="14" t="s">
        <v>70</v>
      </c>
      <c r="F57" s="15" t="s">
        <v>59</v>
      </c>
      <c r="G57" s="15" t="s">
        <v>60</v>
      </c>
      <c r="H57" s="14"/>
      <c r="I57" s="14" t="s">
        <v>61</v>
      </c>
      <c r="J57" s="14"/>
      <c r="K57" s="16">
        <f>IFERROR(B57*IF(J57&lt;&gt;"",J57,VLOOKUP(E57,Stage_Pricing_Ladder!$A$4:$C$10,3,FALSE())),"")</f>
        <v>171100</v>
      </c>
      <c r="L57" s="14"/>
      <c r="M57" s="16">
        <f t="shared" si="1"/>
        <v>171100</v>
      </c>
      <c r="N57" s="14" t="s">
        <v>61</v>
      </c>
      <c r="O57" s="14"/>
      <c r="P57" s="14"/>
    </row>
    <row r="58" spans="1:16" x14ac:dyDescent="0.35">
      <c r="A58" s="13">
        <v>291</v>
      </c>
      <c r="B58" s="13">
        <v>620</v>
      </c>
      <c r="C58" s="13" t="s">
        <v>62</v>
      </c>
      <c r="D58" s="13" t="s">
        <v>69</v>
      </c>
      <c r="E58" s="14" t="s">
        <v>70</v>
      </c>
      <c r="F58" s="15" t="s">
        <v>59</v>
      </c>
      <c r="G58" s="15" t="s">
        <v>60</v>
      </c>
      <c r="H58" s="14"/>
      <c r="I58" s="14" t="s">
        <v>61</v>
      </c>
      <c r="J58" s="14"/>
      <c r="K58" s="16">
        <f>IFERROR(B58*IF(J58&lt;&gt;"",J58,VLOOKUP(E58,Stage_Pricing_Ladder!$A$4:$C$10,3,FALSE())),"")</f>
        <v>182900</v>
      </c>
      <c r="L58" s="14"/>
      <c r="M58" s="16">
        <f t="shared" si="1"/>
        <v>182900</v>
      </c>
      <c r="N58" s="14" t="s">
        <v>61</v>
      </c>
      <c r="O58" s="14"/>
      <c r="P58" s="14"/>
    </row>
    <row r="59" spans="1:16" x14ac:dyDescent="0.35">
      <c r="A59" s="13">
        <v>292</v>
      </c>
      <c r="B59" s="13">
        <v>660</v>
      </c>
      <c r="C59" s="13" t="s">
        <v>62</v>
      </c>
      <c r="D59" s="13" t="s">
        <v>69</v>
      </c>
      <c r="E59" s="14" t="s">
        <v>70</v>
      </c>
      <c r="F59" s="15" t="s">
        <v>59</v>
      </c>
      <c r="G59" s="15" t="s">
        <v>60</v>
      </c>
      <c r="H59" s="14"/>
      <c r="I59" s="14" t="s">
        <v>61</v>
      </c>
      <c r="J59" s="14"/>
      <c r="K59" s="16">
        <f>IFERROR(B59*IF(J59&lt;&gt;"",J59,VLOOKUP(E59,Stage_Pricing_Ladder!$A$4:$C$10,3,FALSE())),"")</f>
        <v>194700</v>
      </c>
      <c r="L59" s="14"/>
      <c r="M59" s="16">
        <f t="shared" si="1"/>
        <v>194700</v>
      </c>
      <c r="N59" s="14" t="s">
        <v>61</v>
      </c>
      <c r="O59" s="14"/>
      <c r="P59" s="14"/>
    </row>
    <row r="60" spans="1:16" x14ac:dyDescent="0.35">
      <c r="A60" s="13">
        <v>293</v>
      </c>
      <c r="B60" s="13">
        <v>700</v>
      </c>
      <c r="C60" s="13" t="s">
        <v>62</v>
      </c>
      <c r="D60" s="13" t="s">
        <v>69</v>
      </c>
      <c r="E60" s="14" t="s">
        <v>70</v>
      </c>
      <c r="F60" s="15" t="s">
        <v>59</v>
      </c>
      <c r="G60" s="15" t="s">
        <v>60</v>
      </c>
      <c r="H60" s="14"/>
      <c r="I60" s="14" t="s">
        <v>61</v>
      </c>
      <c r="J60" s="14"/>
      <c r="K60" s="16">
        <f>IFERROR(B60*IF(J60&lt;&gt;"",J60,VLOOKUP(E60,Stage_Pricing_Ladder!$A$4:$C$10,3,FALSE())),"")</f>
        <v>206500</v>
      </c>
      <c r="L60" s="14"/>
      <c r="M60" s="16">
        <f t="shared" si="1"/>
        <v>206500</v>
      </c>
      <c r="N60" s="14" t="s">
        <v>61</v>
      </c>
      <c r="O60" s="14"/>
      <c r="P60" s="14"/>
    </row>
    <row r="61" spans="1:16" x14ac:dyDescent="0.35">
      <c r="A61" s="13">
        <v>294</v>
      </c>
      <c r="B61" s="13">
        <v>740</v>
      </c>
      <c r="C61" s="13" t="s">
        <v>62</v>
      </c>
      <c r="D61" s="13" t="s">
        <v>69</v>
      </c>
      <c r="E61" s="14" t="s">
        <v>70</v>
      </c>
      <c r="F61" s="15" t="s">
        <v>59</v>
      </c>
      <c r="G61" s="15" t="s">
        <v>60</v>
      </c>
      <c r="H61" s="14"/>
      <c r="I61" s="14" t="s">
        <v>61</v>
      </c>
      <c r="J61" s="14"/>
      <c r="K61" s="16">
        <f>IFERROR(B61*IF(J61&lt;&gt;"",J61,VLOOKUP(E61,Stage_Pricing_Ladder!$A$4:$C$10,3,FALSE())),"")</f>
        <v>218300</v>
      </c>
      <c r="L61" s="14"/>
      <c r="M61" s="16">
        <f t="shared" si="1"/>
        <v>218300</v>
      </c>
      <c r="N61" s="14" t="s">
        <v>61</v>
      </c>
      <c r="O61" s="14"/>
      <c r="P61" s="14"/>
    </row>
    <row r="62" spans="1:16" x14ac:dyDescent="0.35">
      <c r="A62" s="13">
        <v>295</v>
      </c>
      <c r="B62" s="13">
        <v>580</v>
      </c>
      <c r="C62" s="13" t="s">
        <v>62</v>
      </c>
      <c r="D62" s="13" t="s">
        <v>69</v>
      </c>
      <c r="E62" s="14" t="s">
        <v>70</v>
      </c>
      <c r="F62" s="15" t="s">
        <v>59</v>
      </c>
      <c r="G62" s="15" t="s">
        <v>60</v>
      </c>
      <c r="H62" s="14"/>
      <c r="I62" s="14" t="s">
        <v>61</v>
      </c>
      <c r="J62" s="14"/>
      <c r="K62" s="16">
        <f>IFERROR(B62*IF(J62&lt;&gt;"",J62,VLOOKUP(E62,Stage_Pricing_Ladder!$A$4:$C$10,3,FALSE())),"")</f>
        <v>171100</v>
      </c>
      <c r="L62" s="14"/>
      <c r="M62" s="16">
        <f t="shared" si="1"/>
        <v>171100</v>
      </c>
      <c r="N62" s="14" t="s">
        <v>61</v>
      </c>
      <c r="O62" s="14"/>
      <c r="P62" s="14"/>
    </row>
    <row r="63" spans="1:16" x14ac:dyDescent="0.35">
      <c r="A63" s="13">
        <v>296</v>
      </c>
      <c r="B63" s="13">
        <v>620</v>
      </c>
      <c r="C63" s="13" t="s">
        <v>62</v>
      </c>
      <c r="D63" s="13" t="s">
        <v>69</v>
      </c>
      <c r="E63" s="14" t="s">
        <v>70</v>
      </c>
      <c r="F63" s="15" t="s">
        <v>59</v>
      </c>
      <c r="G63" s="15" t="s">
        <v>60</v>
      </c>
      <c r="H63" s="14"/>
      <c r="I63" s="14" t="s">
        <v>61</v>
      </c>
      <c r="J63" s="14"/>
      <c r="K63" s="16">
        <f>IFERROR(B63*IF(J63&lt;&gt;"",J63,VLOOKUP(E63,Stage_Pricing_Ladder!$A$4:$C$10,3,FALSE())),"")</f>
        <v>182900</v>
      </c>
      <c r="L63" s="14"/>
      <c r="M63" s="16">
        <f t="shared" si="1"/>
        <v>182900</v>
      </c>
      <c r="N63" s="14" t="s">
        <v>61</v>
      </c>
      <c r="O63" s="14"/>
      <c r="P63" s="14"/>
    </row>
    <row r="64" spans="1:16" x14ac:dyDescent="0.35">
      <c r="A64" s="13">
        <v>297</v>
      </c>
      <c r="B64" s="13">
        <v>660</v>
      </c>
      <c r="C64" s="13" t="s">
        <v>62</v>
      </c>
      <c r="D64" s="13" t="s">
        <v>69</v>
      </c>
      <c r="E64" s="14" t="s">
        <v>70</v>
      </c>
      <c r="F64" s="15" t="s">
        <v>59</v>
      </c>
      <c r="G64" s="15" t="s">
        <v>60</v>
      </c>
      <c r="H64" s="14"/>
      <c r="I64" s="14" t="s">
        <v>61</v>
      </c>
      <c r="J64" s="14"/>
      <c r="K64" s="16">
        <f>IFERROR(B64*IF(J64&lt;&gt;"",J64,VLOOKUP(E64,Stage_Pricing_Ladder!$A$4:$C$10,3,FALSE())),"")</f>
        <v>194700</v>
      </c>
      <c r="L64" s="14"/>
      <c r="M64" s="16">
        <f t="shared" si="1"/>
        <v>194700</v>
      </c>
      <c r="N64" s="14" t="s">
        <v>61</v>
      </c>
      <c r="O64" s="14"/>
      <c r="P64" s="14"/>
    </row>
    <row r="65" spans="1:16" x14ac:dyDescent="0.35">
      <c r="A65" s="13">
        <v>298</v>
      </c>
      <c r="B65" s="13">
        <v>700</v>
      </c>
      <c r="C65" s="13" t="s">
        <v>62</v>
      </c>
      <c r="D65" s="13" t="s">
        <v>69</v>
      </c>
      <c r="E65" s="14" t="s">
        <v>70</v>
      </c>
      <c r="F65" s="15" t="s">
        <v>59</v>
      </c>
      <c r="G65" s="15" t="s">
        <v>60</v>
      </c>
      <c r="H65" s="14"/>
      <c r="I65" s="14" t="s">
        <v>61</v>
      </c>
      <c r="J65" s="14"/>
      <c r="K65" s="16">
        <f>IFERROR(B65*IF(J65&lt;&gt;"",J65,VLOOKUP(E65,Stage_Pricing_Ladder!$A$4:$C$10,3,FALSE())),"")</f>
        <v>206500</v>
      </c>
      <c r="L65" s="14"/>
      <c r="M65" s="16">
        <f t="shared" si="1"/>
        <v>206500</v>
      </c>
      <c r="N65" s="14" t="s">
        <v>61</v>
      </c>
      <c r="O65" s="14"/>
      <c r="P65" s="14"/>
    </row>
    <row r="66" spans="1:16" x14ac:dyDescent="0.35">
      <c r="A66" s="13">
        <v>299</v>
      </c>
      <c r="B66" s="13">
        <v>740</v>
      </c>
      <c r="C66" s="13" t="s">
        <v>62</v>
      </c>
      <c r="D66" s="13" t="s">
        <v>69</v>
      </c>
      <c r="E66" s="14" t="s">
        <v>70</v>
      </c>
      <c r="F66" s="15" t="s">
        <v>59</v>
      </c>
      <c r="G66" s="15" t="s">
        <v>60</v>
      </c>
      <c r="H66" s="14"/>
      <c r="I66" s="14" t="s">
        <v>61</v>
      </c>
      <c r="J66" s="14"/>
      <c r="K66" s="16">
        <f>IFERROR(B66*IF(J66&lt;&gt;"",J66,VLOOKUP(E66,Stage_Pricing_Ladder!$A$4:$C$10,3,FALSE())),"")</f>
        <v>218300</v>
      </c>
      <c r="L66" s="14"/>
      <c r="M66" s="16">
        <f t="shared" si="1"/>
        <v>218300</v>
      </c>
      <c r="N66" s="14" t="s">
        <v>61</v>
      </c>
      <c r="O66" s="14"/>
      <c r="P66" s="14"/>
    </row>
    <row r="67" spans="1:16" x14ac:dyDescent="0.35">
      <c r="A67" s="13">
        <v>300</v>
      </c>
      <c r="B67" s="13">
        <v>580</v>
      </c>
      <c r="C67" s="13" t="s">
        <v>62</v>
      </c>
      <c r="D67" s="13" t="s">
        <v>69</v>
      </c>
      <c r="E67" s="14" t="s">
        <v>70</v>
      </c>
      <c r="F67" s="15" t="s">
        <v>59</v>
      </c>
      <c r="G67" s="15" t="s">
        <v>60</v>
      </c>
      <c r="H67" s="14"/>
      <c r="I67" s="14" t="s">
        <v>61</v>
      </c>
      <c r="J67" s="14"/>
      <c r="K67" s="16">
        <f>IFERROR(B67*IF(J67&lt;&gt;"",J67,VLOOKUP(E67,Stage_Pricing_Ladder!$A$4:$C$10,3,FALSE())),"")</f>
        <v>171100</v>
      </c>
      <c r="L67" s="14"/>
      <c r="M67" s="16">
        <f t="shared" ref="M67:M98" si="2">IFERROR(K67+IF(L67="",0,L67),"")</f>
        <v>171100</v>
      </c>
      <c r="N67" s="14" t="s">
        <v>61</v>
      </c>
      <c r="O67" s="14"/>
      <c r="P67" s="14"/>
    </row>
    <row r="68" spans="1:16" x14ac:dyDescent="0.35">
      <c r="A68" s="13">
        <v>301</v>
      </c>
      <c r="B68" s="13">
        <v>620</v>
      </c>
      <c r="C68" s="13" t="s">
        <v>62</v>
      </c>
      <c r="D68" s="13" t="s">
        <v>69</v>
      </c>
      <c r="E68" s="14" t="s">
        <v>70</v>
      </c>
      <c r="F68" s="15" t="s">
        <v>59</v>
      </c>
      <c r="G68" s="15" t="s">
        <v>60</v>
      </c>
      <c r="H68" s="14"/>
      <c r="I68" s="14" t="s">
        <v>61</v>
      </c>
      <c r="J68" s="14"/>
      <c r="K68" s="16">
        <f>IFERROR(B68*IF(J68&lt;&gt;"",J68,VLOOKUP(E68,Stage_Pricing_Ladder!$A$4:$C$10,3,FALSE())),"")</f>
        <v>182900</v>
      </c>
      <c r="L68" s="14"/>
      <c r="M68" s="16">
        <f t="shared" si="2"/>
        <v>182900</v>
      </c>
      <c r="N68" s="14" t="s">
        <v>61</v>
      </c>
      <c r="O68" s="14"/>
      <c r="P68" s="14"/>
    </row>
    <row r="69" spans="1:16" x14ac:dyDescent="0.35">
      <c r="A69" s="13">
        <v>302</v>
      </c>
      <c r="B69" s="13">
        <v>660</v>
      </c>
      <c r="C69" s="13" t="s">
        <v>62</v>
      </c>
      <c r="D69" s="13" t="s">
        <v>69</v>
      </c>
      <c r="E69" s="14" t="s">
        <v>70</v>
      </c>
      <c r="F69" s="15" t="s">
        <v>59</v>
      </c>
      <c r="G69" s="15" t="s">
        <v>60</v>
      </c>
      <c r="H69" s="14"/>
      <c r="I69" s="14" t="s">
        <v>61</v>
      </c>
      <c r="J69" s="14"/>
      <c r="K69" s="16">
        <f>IFERROR(B69*IF(J69&lt;&gt;"",J69,VLOOKUP(E69,Stage_Pricing_Ladder!$A$4:$C$10,3,FALSE())),"")</f>
        <v>194700</v>
      </c>
      <c r="L69" s="14"/>
      <c r="M69" s="16">
        <f t="shared" si="2"/>
        <v>194700</v>
      </c>
      <c r="N69" s="14" t="s">
        <v>61</v>
      </c>
      <c r="O69" s="14"/>
      <c r="P69" s="14"/>
    </row>
    <row r="70" spans="1:16" x14ac:dyDescent="0.35">
      <c r="A70" s="13">
        <v>303</v>
      </c>
      <c r="B70" s="13">
        <v>700</v>
      </c>
      <c r="C70" s="13" t="s">
        <v>62</v>
      </c>
      <c r="D70" s="13" t="s">
        <v>69</v>
      </c>
      <c r="E70" s="14" t="s">
        <v>70</v>
      </c>
      <c r="F70" s="15" t="s">
        <v>59</v>
      </c>
      <c r="G70" s="15" t="s">
        <v>60</v>
      </c>
      <c r="H70" s="14"/>
      <c r="I70" s="14" t="s">
        <v>61</v>
      </c>
      <c r="J70" s="14"/>
      <c r="K70" s="16">
        <f>IFERROR(B70*IF(J70&lt;&gt;"",J70,VLOOKUP(E70,Stage_Pricing_Ladder!$A$4:$C$10,3,FALSE())),"")</f>
        <v>206500</v>
      </c>
      <c r="L70" s="14"/>
      <c r="M70" s="16">
        <f t="shared" si="2"/>
        <v>206500</v>
      </c>
      <c r="N70" s="14" t="s">
        <v>61</v>
      </c>
      <c r="O70" s="14"/>
      <c r="P70" s="14"/>
    </row>
    <row r="71" spans="1:16" x14ac:dyDescent="0.35">
      <c r="A71" s="13">
        <v>304</v>
      </c>
      <c r="B71" s="13">
        <v>740</v>
      </c>
      <c r="C71" s="13" t="s">
        <v>62</v>
      </c>
      <c r="D71" s="13" t="s">
        <v>69</v>
      </c>
      <c r="E71" s="14" t="s">
        <v>70</v>
      </c>
      <c r="F71" s="15" t="s">
        <v>59</v>
      </c>
      <c r="G71" s="15" t="s">
        <v>60</v>
      </c>
      <c r="H71" s="14"/>
      <c r="I71" s="14" t="s">
        <v>61</v>
      </c>
      <c r="J71" s="14"/>
      <c r="K71" s="16">
        <f>IFERROR(B71*IF(J71&lt;&gt;"",J71,VLOOKUP(E71,Stage_Pricing_Ladder!$A$4:$C$10,3,FALSE())),"")</f>
        <v>218300</v>
      </c>
      <c r="L71" s="14"/>
      <c r="M71" s="16">
        <f t="shared" si="2"/>
        <v>218300</v>
      </c>
      <c r="N71" s="14" t="s">
        <v>61</v>
      </c>
      <c r="O71" s="14"/>
      <c r="P71" s="14"/>
    </row>
    <row r="72" spans="1:16" x14ac:dyDescent="0.35">
      <c r="A72" s="13">
        <v>305</v>
      </c>
      <c r="B72" s="13">
        <v>580</v>
      </c>
      <c r="C72" s="13" t="s">
        <v>62</v>
      </c>
      <c r="D72" s="13" t="s">
        <v>69</v>
      </c>
      <c r="E72" s="14" t="s">
        <v>70</v>
      </c>
      <c r="F72" s="15" t="s">
        <v>59</v>
      </c>
      <c r="G72" s="15" t="s">
        <v>60</v>
      </c>
      <c r="H72" s="14"/>
      <c r="I72" s="14" t="s">
        <v>61</v>
      </c>
      <c r="J72" s="14"/>
      <c r="K72" s="16">
        <f>IFERROR(B72*IF(J72&lt;&gt;"",J72,VLOOKUP(E72,Stage_Pricing_Ladder!$A$4:$C$10,3,FALSE())),"")</f>
        <v>171100</v>
      </c>
      <c r="L72" s="14"/>
      <c r="M72" s="16">
        <f t="shared" si="2"/>
        <v>171100</v>
      </c>
      <c r="N72" s="14" t="s">
        <v>61</v>
      </c>
      <c r="O72" s="14"/>
      <c r="P72" s="14"/>
    </row>
    <row r="73" spans="1:16" x14ac:dyDescent="0.35">
      <c r="A73" s="13">
        <v>306</v>
      </c>
      <c r="B73" s="13">
        <v>620</v>
      </c>
      <c r="C73" s="13" t="s">
        <v>62</v>
      </c>
      <c r="D73" s="13" t="s">
        <v>69</v>
      </c>
      <c r="E73" s="14" t="s">
        <v>70</v>
      </c>
      <c r="F73" s="15" t="s">
        <v>59</v>
      </c>
      <c r="G73" s="15" t="s">
        <v>60</v>
      </c>
      <c r="H73" s="14"/>
      <c r="I73" s="14" t="s">
        <v>61</v>
      </c>
      <c r="J73" s="14"/>
      <c r="K73" s="16">
        <f>IFERROR(B73*IF(J73&lt;&gt;"",J73,VLOOKUP(E73,Stage_Pricing_Ladder!$A$4:$C$10,3,FALSE())),"")</f>
        <v>182900</v>
      </c>
      <c r="L73" s="14"/>
      <c r="M73" s="16">
        <f t="shared" si="2"/>
        <v>182900</v>
      </c>
      <c r="N73" s="14" t="s">
        <v>61</v>
      </c>
      <c r="O73" s="14"/>
      <c r="P73" s="14"/>
    </row>
    <row r="74" spans="1:16" x14ac:dyDescent="0.35">
      <c r="A74" s="13">
        <v>307</v>
      </c>
      <c r="B74" s="13">
        <v>660</v>
      </c>
      <c r="C74" s="13" t="s">
        <v>62</v>
      </c>
      <c r="D74" s="13" t="s">
        <v>69</v>
      </c>
      <c r="E74" s="14" t="s">
        <v>70</v>
      </c>
      <c r="F74" s="15" t="s">
        <v>59</v>
      </c>
      <c r="G74" s="15" t="s">
        <v>60</v>
      </c>
      <c r="H74" s="14"/>
      <c r="I74" s="14" t="s">
        <v>61</v>
      </c>
      <c r="J74" s="14"/>
      <c r="K74" s="16">
        <f>IFERROR(B74*IF(J74&lt;&gt;"",J74,VLOOKUP(E74,Stage_Pricing_Ladder!$A$4:$C$10,3,FALSE())),"")</f>
        <v>194700</v>
      </c>
      <c r="L74" s="14"/>
      <c r="M74" s="16">
        <f t="shared" si="2"/>
        <v>194700</v>
      </c>
      <c r="N74" s="14" t="s">
        <v>61</v>
      </c>
      <c r="O74" s="14"/>
      <c r="P74" s="14"/>
    </row>
    <row r="75" spans="1:16" x14ac:dyDescent="0.35">
      <c r="A75" s="13">
        <v>308</v>
      </c>
      <c r="B75" s="13">
        <v>700</v>
      </c>
      <c r="C75" s="13" t="s">
        <v>62</v>
      </c>
      <c r="D75" s="13" t="s">
        <v>69</v>
      </c>
      <c r="E75" s="14" t="s">
        <v>70</v>
      </c>
      <c r="F75" s="15" t="s">
        <v>59</v>
      </c>
      <c r="G75" s="15" t="s">
        <v>60</v>
      </c>
      <c r="H75" s="14"/>
      <c r="I75" s="14" t="s">
        <v>61</v>
      </c>
      <c r="J75" s="14"/>
      <c r="K75" s="16">
        <f>IFERROR(B75*IF(J75&lt;&gt;"",J75,VLOOKUP(E75,Stage_Pricing_Ladder!$A$4:$C$10,3,FALSE())),"")</f>
        <v>206500</v>
      </c>
      <c r="L75" s="14"/>
      <c r="M75" s="16">
        <f t="shared" si="2"/>
        <v>206500</v>
      </c>
      <c r="N75" s="14" t="s">
        <v>61</v>
      </c>
      <c r="O75" s="14"/>
      <c r="P75" s="14"/>
    </row>
    <row r="76" spans="1:16" x14ac:dyDescent="0.35">
      <c r="A76" s="13">
        <v>309</v>
      </c>
      <c r="B76" s="13">
        <v>740</v>
      </c>
      <c r="C76" s="13" t="s">
        <v>62</v>
      </c>
      <c r="D76" s="13" t="s">
        <v>69</v>
      </c>
      <c r="E76" s="14" t="s">
        <v>70</v>
      </c>
      <c r="F76" s="15" t="s">
        <v>59</v>
      </c>
      <c r="G76" s="15" t="s">
        <v>60</v>
      </c>
      <c r="H76" s="14"/>
      <c r="I76" s="14" t="s">
        <v>61</v>
      </c>
      <c r="J76" s="14"/>
      <c r="K76" s="16">
        <f>IFERROR(B76*IF(J76&lt;&gt;"",J76,VLOOKUP(E76,Stage_Pricing_Ladder!$A$4:$C$10,3,FALSE())),"")</f>
        <v>218300</v>
      </c>
      <c r="L76" s="14"/>
      <c r="M76" s="16">
        <f t="shared" si="2"/>
        <v>218300</v>
      </c>
      <c r="N76" s="14" t="s">
        <v>61</v>
      </c>
      <c r="O76" s="14"/>
      <c r="P76" s="14"/>
    </row>
    <row r="77" spans="1:16" x14ac:dyDescent="0.35">
      <c r="A77" s="13">
        <v>310</v>
      </c>
      <c r="B77" s="13">
        <v>600</v>
      </c>
      <c r="C77" s="13" t="s">
        <v>62</v>
      </c>
      <c r="D77" s="13" t="s">
        <v>71</v>
      </c>
      <c r="E77" s="14" t="s">
        <v>72</v>
      </c>
      <c r="F77" s="15" t="s">
        <v>59</v>
      </c>
      <c r="G77" s="15" t="s">
        <v>60</v>
      </c>
      <c r="H77" s="14"/>
      <c r="I77" s="14" t="s">
        <v>61</v>
      </c>
      <c r="J77" s="14"/>
      <c r="K77" s="16">
        <f>IFERROR(B77*IF(J77&lt;&gt;"",J77,VLOOKUP(E77,Stage_Pricing_Ladder!$A$4:$C$10,3,FALSE())),"")</f>
        <v>186000</v>
      </c>
      <c r="L77" s="14"/>
      <c r="M77" s="16">
        <f t="shared" si="2"/>
        <v>186000</v>
      </c>
      <c r="N77" s="14" t="s">
        <v>61</v>
      </c>
      <c r="O77" s="14"/>
      <c r="P77" s="14"/>
    </row>
    <row r="78" spans="1:16" x14ac:dyDescent="0.35">
      <c r="A78" s="13">
        <v>311</v>
      </c>
      <c r="B78" s="13">
        <v>650</v>
      </c>
      <c r="C78" s="13" t="s">
        <v>62</v>
      </c>
      <c r="D78" s="13" t="s">
        <v>71</v>
      </c>
      <c r="E78" s="14" t="s">
        <v>72</v>
      </c>
      <c r="F78" s="15" t="s">
        <v>59</v>
      </c>
      <c r="G78" s="15" t="s">
        <v>60</v>
      </c>
      <c r="H78" s="14"/>
      <c r="I78" s="14" t="s">
        <v>61</v>
      </c>
      <c r="J78" s="14"/>
      <c r="K78" s="16">
        <f>IFERROR(B78*IF(J78&lt;&gt;"",J78,VLOOKUP(E78,Stage_Pricing_Ladder!$A$4:$C$10,3,FALSE())),"")</f>
        <v>201500</v>
      </c>
      <c r="L78" s="14"/>
      <c r="M78" s="16">
        <f t="shared" si="2"/>
        <v>201500</v>
      </c>
      <c r="N78" s="14" t="s">
        <v>61</v>
      </c>
      <c r="O78" s="14"/>
      <c r="P78" s="14"/>
    </row>
    <row r="79" spans="1:16" x14ac:dyDescent="0.35">
      <c r="A79" s="13">
        <v>312</v>
      </c>
      <c r="B79" s="13">
        <v>700</v>
      </c>
      <c r="C79" s="13" t="s">
        <v>62</v>
      </c>
      <c r="D79" s="13" t="s">
        <v>71</v>
      </c>
      <c r="E79" s="14" t="s">
        <v>72</v>
      </c>
      <c r="F79" s="15" t="s">
        <v>59</v>
      </c>
      <c r="G79" s="15" t="s">
        <v>60</v>
      </c>
      <c r="H79" s="14"/>
      <c r="I79" s="14" t="s">
        <v>61</v>
      </c>
      <c r="J79" s="14"/>
      <c r="K79" s="16">
        <f>IFERROR(B79*IF(J79&lt;&gt;"",J79,VLOOKUP(E79,Stage_Pricing_Ladder!$A$4:$C$10,3,FALSE())),"")</f>
        <v>217000</v>
      </c>
      <c r="L79" s="14"/>
      <c r="M79" s="16">
        <f t="shared" si="2"/>
        <v>217000</v>
      </c>
      <c r="N79" s="14" t="s">
        <v>61</v>
      </c>
      <c r="O79" s="14"/>
      <c r="P79" s="14"/>
    </row>
    <row r="80" spans="1:16" x14ac:dyDescent="0.35">
      <c r="A80" s="13">
        <v>313</v>
      </c>
      <c r="B80" s="13">
        <v>750</v>
      </c>
      <c r="C80" s="13" t="s">
        <v>62</v>
      </c>
      <c r="D80" s="13" t="s">
        <v>71</v>
      </c>
      <c r="E80" s="14" t="s">
        <v>72</v>
      </c>
      <c r="F80" s="15" t="s">
        <v>59</v>
      </c>
      <c r="G80" s="15" t="s">
        <v>60</v>
      </c>
      <c r="H80" s="14"/>
      <c r="I80" s="14" t="s">
        <v>61</v>
      </c>
      <c r="J80" s="14"/>
      <c r="K80" s="16">
        <f>IFERROR(B80*IF(J80&lt;&gt;"",J80,VLOOKUP(E80,Stage_Pricing_Ladder!$A$4:$C$10,3,FALSE())),"")</f>
        <v>232500</v>
      </c>
      <c r="L80" s="14"/>
      <c r="M80" s="16">
        <f t="shared" si="2"/>
        <v>232500</v>
      </c>
      <c r="N80" s="14" t="s">
        <v>61</v>
      </c>
      <c r="O80" s="14"/>
      <c r="P80" s="14"/>
    </row>
    <row r="81" spans="1:16" x14ac:dyDescent="0.35">
      <c r="A81" s="13">
        <v>314</v>
      </c>
      <c r="B81" s="13">
        <v>600</v>
      </c>
      <c r="C81" s="13" t="s">
        <v>62</v>
      </c>
      <c r="D81" s="13" t="s">
        <v>71</v>
      </c>
      <c r="E81" s="14" t="s">
        <v>72</v>
      </c>
      <c r="F81" s="15" t="s">
        <v>59</v>
      </c>
      <c r="G81" s="15" t="s">
        <v>60</v>
      </c>
      <c r="H81" s="14"/>
      <c r="I81" s="14" t="s">
        <v>61</v>
      </c>
      <c r="J81" s="14"/>
      <c r="K81" s="16">
        <f>IFERROR(B81*IF(J81&lt;&gt;"",J81,VLOOKUP(E81,Stage_Pricing_Ladder!$A$4:$C$10,3,FALSE())),"")</f>
        <v>186000</v>
      </c>
      <c r="L81" s="14"/>
      <c r="M81" s="16">
        <f t="shared" si="2"/>
        <v>186000</v>
      </c>
      <c r="N81" s="14" t="s">
        <v>61</v>
      </c>
      <c r="O81" s="14"/>
      <c r="P81" s="14"/>
    </row>
    <row r="82" spans="1:16" x14ac:dyDescent="0.35">
      <c r="A82" s="13">
        <v>315</v>
      </c>
      <c r="B82" s="13">
        <v>650</v>
      </c>
      <c r="C82" s="13" t="s">
        <v>62</v>
      </c>
      <c r="D82" s="13" t="s">
        <v>71</v>
      </c>
      <c r="E82" s="14" t="s">
        <v>72</v>
      </c>
      <c r="F82" s="15" t="s">
        <v>59</v>
      </c>
      <c r="G82" s="15" t="s">
        <v>60</v>
      </c>
      <c r="H82" s="14"/>
      <c r="I82" s="14" t="s">
        <v>61</v>
      </c>
      <c r="J82" s="14"/>
      <c r="K82" s="16">
        <f>IFERROR(B82*IF(J82&lt;&gt;"",J82,VLOOKUP(E82,Stage_Pricing_Ladder!$A$4:$C$10,3,FALSE())),"")</f>
        <v>201500</v>
      </c>
      <c r="L82" s="14"/>
      <c r="M82" s="16">
        <f t="shared" si="2"/>
        <v>201500</v>
      </c>
      <c r="N82" s="14" t="s">
        <v>61</v>
      </c>
      <c r="O82" s="14"/>
      <c r="P82" s="14"/>
    </row>
    <row r="83" spans="1:16" x14ac:dyDescent="0.35">
      <c r="A83" s="13">
        <v>316</v>
      </c>
      <c r="B83" s="13">
        <v>700</v>
      </c>
      <c r="C83" s="13" t="s">
        <v>62</v>
      </c>
      <c r="D83" s="13" t="s">
        <v>71</v>
      </c>
      <c r="E83" s="14" t="s">
        <v>72</v>
      </c>
      <c r="F83" s="15" t="s">
        <v>59</v>
      </c>
      <c r="G83" s="15" t="s">
        <v>60</v>
      </c>
      <c r="H83" s="14"/>
      <c r="I83" s="14" t="s">
        <v>61</v>
      </c>
      <c r="J83" s="14"/>
      <c r="K83" s="16">
        <f>IFERROR(B83*IF(J83&lt;&gt;"",J83,VLOOKUP(E83,Stage_Pricing_Ladder!$A$4:$C$10,3,FALSE())),"")</f>
        <v>217000</v>
      </c>
      <c r="L83" s="14"/>
      <c r="M83" s="16">
        <f t="shared" si="2"/>
        <v>217000</v>
      </c>
      <c r="N83" s="14" t="s">
        <v>61</v>
      </c>
      <c r="O83" s="14"/>
      <c r="P83" s="14"/>
    </row>
    <row r="84" spans="1:16" x14ac:dyDescent="0.35">
      <c r="A84" s="13">
        <v>317</v>
      </c>
      <c r="B84" s="13">
        <v>750</v>
      </c>
      <c r="C84" s="13" t="s">
        <v>62</v>
      </c>
      <c r="D84" s="13" t="s">
        <v>71</v>
      </c>
      <c r="E84" s="14" t="s">
        <v>72</v>
      </c>
      <c r="F84" s="15" t="s">
        <v>59</v>
      </c>
      <c r="G84" s="15" t="s">
        <v>60</v>
      </c>
      <c r="H84" s="14"/>
      <c r="I84" s="14" t="s">
        <v>61</v>
      </c>
      <c r="J84" s="14"/>
      <c r="K84" s="16">
        <f>IFERROR(B84*IF(J84&lt;&gt;"",J84,VLOOKUP(E84,Stage_Pricing_Ladder!$A$4:$C$10,3,FALSE())),"")</f>
        <v>232500</v>
      </c>
      <c r="L84" s="14"/>
      <c r="M84" s="16">
        <f t="shared" si="2"/>
        <v>232500</v>
      </c>
      <c r="N84" s="14" t="s">
        <v>61</v>
      </c>
      <c r="O84" s="14"/>
      <c r="P84" s="14"/>
    </row>
    <row r="85" spans="1:16" x14ac:dyDescent="0.35">
      <c r="A85" s="13">
        <v>318</v>
      </c>
      <c r="B85" s="13">
        <v>600</v>
      </c>
      <c r="C85" s="13" t="s">
        <v>62</v>
      </c>
      <c r="D85" s="13" t="s">
        <v>71</v>
      </c>
      <c r="E85" s="14" t="s">
        <v>72</v>
      </c>
      <c r="F85" s="15" t="s">
        <v>59</v>
      </c>
      <c r="G85" s="15" t="s">
        <v>60</v>
      </c>
      <c r="H85" s="14"/>
      <c r="I85" s="14" t="s">
        <v>61</v>
      </c>
      <c r="J85" s="14"/>
      <c r="K85" s="16">
        <f>IFERROR(B85*IF(J85&lt;&gt;"",J85,VLOOKUP(E85,Stage_Pricing_Ladder!$A$4:$C$10,3,FALSE())),"")</f>
        <v>186000</v>
      </c>
      <c r="L85" s="14"/>
      <c r="M85" s="16">
        <f t="shared" si="2"/>
        <v>186000</v>
      </c>
      <c r="N85" s="14" t="s">
        <v>61</v>
      </c>
      <c r="O85" s="14"/>
      <c r="P85" s="14"/>
    </row>
    <row r="86" spans="1:16" x14ac:dyDescent="0.35">
      <c r="A86" s="13">
        <v>319</v>
      </c>
      <c r="B86" s="13">
        <v>650</v>
      </c>
      <c r="C86" s="13" t="s">
        <v>62</v>
      </c>
      <c r="D86" s="13" t="s">
        <v>71</v>
      </c>
      <c r="E86" s="14" t="s">
        <v>72</v>
      </c>
      <c r="F86" s="15" t="s">
        <v>59</v>
      </c>
      <c r="G86" s="15" t="s">
        <v>60</v>
      </c>
      <c r="H86" s="14"/>
      <c r="I86" s="14" t="s">
        <v>61</v>
      </c>
      <c r="J86" s="14"/>
      <c r="K86" s="16">
        <f>IFERROR(B86*IF(J86&lt;&gt;"",J86,VLOOKUP(E86,Stage_Pricing_Ladder!$A$4:$C$10,3,FALSE())),"")</f>
        <v>201500</v>
      </c>
      <c r="L86" s="14"/>
      <c r="M86" s="16">
        <f t="shared" si="2"/>
        <v>201500</v>
      </c>
      <c r="N86" s="14" t="s">
        <v>61</v>
      </c>
      <c r="O86" s="14"/>
      <c r="P86" s="14"/>
    </row>
    <row r="87" spans="1:16" x14ac:dyDescent="0.35">
      <c r="A87" s="13">
        <v>320</v>
      </c>
      <c r="B87" s="13">
        <v>700</v>
      </c>
      <c r="C87" s="13" t="s">
        <v>62</v>
      </c>
      <c r="D87" s="13" t="s">
        <v>71</v>
      </c>
      <c r="E87" s="14" t="s">
        <v>72</v>
      </c>
      <c r="F87" s="15" t="s">
        <v>59</v>
      </c>
      <c r="G87" s="15" t="s">
        <v>60</v>
      </c>
      <c r="H87" s="14"/>
      <c r="I87" s="14" t="s">
        <v>61</v>
      </c>
      <c r="J87" s="14"/>
      <c r="K87" s="16">
        <f>IFERROR(B87*IF(J87&lt;&gt;"",J87,VLOOKUP(E87,Stage_Pricing_Ladder!$A$4:$C$10,3,FALSE())),"")</f>
        <v>217000</v>
      </c>
      <c r="L87" s="14"/>
      <c r="M87" s="16">
        <f t="shared" si="2"/>
        <v>217000</v>
      </c>
      <c r="N87" s="14" t="s">
        <v>61</v>
      </c>
      <c r="O87" s="14"/>
      <c r="P87" s="14"/>
    </row>
    <row r="88" spans="1:16" x14ac:dyDescent="0.35">
      <c r="A88" s="13">
        <v>321</v>
      </c>
      <c r="B88" s="13">
        <v>750</v>
      </c>
      <c r="C88" s="13" t="s">
        <v>62</v>
      </c>
      <c r="D88" s="13" t="s">
        <v>71</v>
      </c>
      <c r="E88" s="14" t="s">
        <v>72</v>
      </c>
      <c r="F88" s="15" t="s">
        <v>59</v>
      </c>
      <c r="G88" s="15" t="s">
        <v>60</v>
      </c>
      <c r="H88" s="14"/>
      <c r="I88" s="14" t="s">
        <v>61</v>
      </c>
      <c r="J88" s="14"/>
      <c r="K88" s="16">
        <f>IFERROR(B88*IF(J88&lt;&gt;"",J88,VLOOKUP(E88,Stage_Pricing_Ladder!$A$4:$C$10,3,FALSE())),"")</f>
        <v>232500</v>
      </c>
      <c r="L88" s="14"/>
      <c r="M88" s="16">
        <f t="shared" si="2"/>
        <v>232500</v>
      </c>
      <c r="N88" s="14" t="s">
        <v>61</v>
      </c>
      <c r="O88" s="14"/>
      <c r="P88" s="14"/>
    </row>
    <row r="89" spans="1:16" x14ac:dyDescent="0.35">
      <c r="A89" s="13">
        <v>322</v>
      </c>
      <c r="B89" s="13">
        <v>600</v>
      </c>
      <c r="C89" s="13" t="s">
        <v>62</v>
      </c>
      <c r="D89" s="13" t="s">
        <v>71</v>
      </c>
      <c r="E89" s="14" t="s">
        <v>72</v>
      </c>
      <c r="F89" s="15" t="s">
        <v>59</v>
      </c>
      <c r="G89" s="15" t="s">
        <v>60</v>
      </c>
      <c r="H89" s="14"/>
      <c r="I89" s="14" t="s">
        <v>61</v>
      </c>
      <c r="J89" s="14"/>
      <c r="K89" s="16">
        <f>IFERROR(B89*IF(J89&lt;&gt;"",J89,VLOOKUP(E89,Stage_Pricing_Ladder!$A$4:$C$10,3,FALSE())),"")</f>
        <v>186000</v>
      </c>
      <c r="L89" s="14"/>
      <c r="M89" s="16">
        <f t="shared" si="2"/>
        <v>186000</v>
      </c>
      <c r="N89" s="14" t="s">
        <v>61</v>
      </c>
      <c r="O89" s="14"/>
      <c r="P89" s="14"/>
    </row>
    <row r="90" spans="1:16" x14ac:dyDescent="0.35">
      <c r="A90" s="13">
        <v>370</v>
      </c>
      <c r="B90" s="13">
        <v>595</v>
      </c>
      <c r="C90" s="13" t="s">
        <v>62</v>
      </c>
      <c r="D90" s="13" t="s">
        <v>73</v>
      </c>
      <c r="E90" s="14" t="s">
        <v>74</v>
      </c>
      <c r="F90" s="15" t="s">
        <v>59</v>
      </c>
      <c r="G90" s="15" t="s">
        <v>60</v>
      </c>
      <c r="H90" s="14"/>
      <c r="I90" s="14" t="s">
        <v>61</v>
      </c>
      <c r="J90" s="14"/>
      <c r="K90" s="16">
        <f>IFERROR(B90*IF(J90&lt;&gt;"",J90,VLOOKUP(E90,Stage_Pricing_Ladder!$A$4:$C$10,3,FALSE())),"")</f>
        <v>193375</v>
      </c>
      <c r="L90" s="14"/>
      <c r="M90" s="16">
        <f t="shared" si="2"/>
        <v>193375</v>
      </c>
      <c r="N90" s="14" t="s">
        <v>61</v>
      </c>
      <c r="O90" s="14"/>
      <c r="P90" s="14"/>
    </row>
    <row r="91" spans="1:16" x14ac:dyDescent="0.35">
      <c r="A91" s="13">
        <v>371</v>
      </c>
      <c r="B91" s="13">
        <v>625</v>
      </c>
      <c r="C91" s="13" t="s">
        <v>62</v>
      </c>
      <c r="D91" s="13" t="s">
        <v>73</v>
      </c>
      <c r="E91" s="14" t="s">
        <v>74</v>
      </c>
      <c r="F91" s="15" t="s">
        <v>59</v>
      </c>
      <c r="G91" s="15" t="s">
        <v>60</v>
      </c>
      <c r="H91" s="14"/>
      <c r="I91" s="14" t="s">
        <v>61</v>
      </c>
      <c r="J91" s="14"/>
      <c r="K91" s="16">
        <f>IFERROR(B91*IF(J91&lt;&gt;"",J91,VLOOKUP(E91,Stage_Pricing_Ladder!$A$4:$C$10,3,FALSE())),"")</f>
        <v>203125</v>
      </c>
      <c r="L91" s="14"/>
      <c r="M91" s="16">
        <f t="shared" si="2"/>
        <v>203125</v>
      </c>
      <c r="N91" s="14" t="s">
        <v>61</v>
      </c>
      <c r="O91" s="14"/>
      <c r="P91" s="14"/>
    </row>
    <row r="92" spans="1:16" x14ac:dyDescent="0.35">
      <c r="A92" s="13">
        <v>372</v>
      </c>
      <c r="B92" s="13">
        <v>655</v>
      </c>
      <c r="C92" s="13" t="s">
        <v>62</v>
      </c>
      <c r="D92" s="13" t="s">
        <v>73</v>
      </c>
      <c r="E92" s="14" t="s">
        <v>74</v>
      </c>
      <c r="F92" s="15" t="s">
        <v>59</v>
      </c>
      <c r="G92" s="15" t="s">
        <v>60</v>
      </c>
      <c r="H92" s="14"/>
      <c r="I92" s="14" t="s">
        <v>61</v>
      </c>
      <c r="J92" s="14"/>
      <c r="K92" s="16">
        <f>IFERROR(B92*IF(J92&lt;&gt;"",J92,VLOOKUP(E92,Stage_Pricing_Ladder!$A$4:$C$10,3,FALSE())),"")</f>
        <v>212875</v>
      </c>
      <c r="L92" s="14"/>
      <c r="M92" s="16">
        <f t="shared" si="2"/>
        <v>212875</v>
      </c>
      <c r="N92" s="14" t="s">
        <v>61</v>
      </c>
      <c r="O92" s="14"/>
      <c r="P92" s="14"/>
    </row>
    <row r="93" spans="1:16" x14ac:dyDescent="0.35">
      <c r="A93" s="13">
        <v>373</v>
      </c>
      <c r="B93" s="13">
        <v>685</v>
      </c>
      <c r="C93" s="13" t="s">
        <v>62</v>
      </c>
      <c r="D93" s="13" t="s">
        <v>73</v>
      </c>
      <c r="E93" s="14" t="s">
        <v>74</v>
      </c>
      <c r="F93" s="15" t="s">
        <v>59</v>
      </c>
      <c r="G93" s="15" t="s">
        <v>60</v>
      </c>
      <c r="H93" s="14"/>
      <c r="I93" s="14" t="s">
        <v>61</v>
      </c>
      <c r="J93" s="14"/>
      <c r="K93" s="16">
        <f>IFERROR(B93*IF(J93&lt;&gt;"",J93,VLOOKUP(E93,Stage_Pricing_Ladder!$A$4:$C$10,3,FALSE())),"")</f>
        <v>222625</v>
      </c>
      <c r="L93" s="14"/>
      <c r="M93" s="16">
        <f t="shared" si="2"/>
        <v>222625</v>
      </c>
      <c r="N93" s="14" t="s">
        <v>61</v>
      </c>
      <c r="O93" s="14"/>
      <c r="P93" s="14"/>
    </row>
    <row r="94" spans="1:16" x14ac:dyDescent="0.35">
      <c r="A94" s="13">
        <v>374</v>
      </c>
      <c r="B94" s="13">
        <v>715</v>
      </c>
      <c r="C94" s="13" t="s">
        <v>62</v>
      </c>
      <c r="D94" s="13" t="s">
        <v>73</v>
      </c>
      <c r="E94" s="14" t="s">
        <v>74</v>
      </c>
      <c r="F94" s="15" t="s">
        <v>59</v>
      </c>
      <c r="G94" s="15" t="s">
        <v>60</v>
      </c>
      <c r="H94" s="14"/>
      <c r="I94" s="14" t="s">
        <v>61</v>
      </c>
      <c r="J94" s="14"/>
      <c r="K94" s="16">
        <f>IFERROR(B94*IF(J94&lt;&gt;"",J94,VLOOKUP(E94,Stage_Pricing_Ladder!$A$4:$C$10,3,FALSE())),"")</f>
        <v>232375</v>
      </c>
      <c r="L94" s="14"/>
      <c r="M94" s="16">
        <f t="shared" si="2"/>
        <v>232375</v>
      </c>
      <c r="N94" s="14" t="s">
        <v>61</v>
      </c>
      <c r="O94" s="14"/>
      <c r="P94" s="14"/>
    </row>
    <row r="95" spans="1:16" x14ac:dyDescent="0.35">
      <c r="A95" s="13">
        <v>375</v>
      </c>
      <c r="B95" s="13">
        <v>745</v>
      </c>
      <c r="C95" s="13" t="s">
        <v>62</v>
      </c>
      <c r="D95" s="13" t="s">
        <v>73</v>
      </c>
      <c r="E95" s="14" t="s">
        <v>74</v>
      </c>
      <c r="F95" s="15" t="s">
        <v>59</v>
      </c>
      <c r="G95" s="15" t="s">
        <v>60</v>
      </c>
      <c r="H95" s="14"/>
      <c r="I95" s="14" t="s">
        <v>61</v>
      </c>
      <c r="J95" s="14"/>
      <c r="K95" s="16">
        <f>IFERROR(B95*IF(J95&lt;&gt;"",J95,VLOOKUP(E95,Stage_Pricing_Ladder!$A$4:$C$10,3,FALSE())),"")</f>
        <v>242125</v>
      </c>
      <c r="L95" s="14"/>
      <c r="M95" s="16">
        <f t="shared" si="2"/>
        <v>242125</v>
      </c>
      <c r="N95" s="14" t="s">
        <v>61</v>
      </c>
      <c r="O95" s="14"/>
      <c r="P95" s="14"/>
    </row>
    <row r="96" spans="1:16" x14ac:dyDescent="0.35">
      <c r="A96" s="13">
        <v>376</v>
      </c>
      <c r="B96" s="13">
        <v>595</v>
      </c>
      <c r="C96" s="13" t="s">
        <v>62</v>
      </c>
      <c r="D96" s="13" t="s">
        <v>73</v>
      </c>
      <c r="E96" s="14" t="s">
        <v>74</v>
      </c>
      <c r="F96" s="15" t="s">
        <v>59</v>
      </c>
      <c r="G96" s="15" t="s">
        <v>60</v>
      </c>
      <c r="H96" s="14"/>
      <c r="I96" s="14" t="s">
        <v>61</v>
      </c>
      <c r="J96" s="14"/>
      <c r="K96" s="16">
        <f>IFERROR(B96*IF(J96&lt;&gt;"",J96,VLOOKUP(E96,Stage_Pricing_Ladder!$A$4:$C$10,3,FALSE())),"")</f>
        <v>193375</v>
      </c>
      <c r="L96" s="14"/>
      <c r="M96" s="16">
        <f t="shared" si="2"/>
        <v>193375</v>
      </c>
      <c r="N96" s="14" t="s">
        <v>61</v>
      </c>
      <c r="O96" s="14"/>
      <c r="P96" s="14"/>
    </row>
    <row r="97" spans="1:16" x14ac:dyDescent="0.35">
      <c r="A97" s="13">
        <v>377</v>
      </c>
      <c r="B97" s="13">
        <v>625</v>
      </c>
      <c r="C97" s="13" t="s">
        <v>62</v>
      </c>
      <c r="D97" s="13" t="s">
        <v>73</v>
      </c>
      <c r="E97" s="14" t="s">
        <v>74</v>
      </c>
      <c r="F97" s="15" t="s">
        <v>59</v>
      </c>
      <c r="G97" s="15" t="s">
        <v>60</v>
      </c>
      <c r="H97" s="14"/>
      <c r="I97" s="14" t="s">
        <v>61</v>
      </c>
      <c r="J97" s="14"/>
      <c r="K97" s="16">
        <f>IFERROR(B97*IF(J97&lt;&gt;"",J97,VLOOKUP(E97,Stage_Pricing_Ladder!$A$4:$C$10,3,FALSE())),"")</f>
        <v>203125</v>
      </c>
      <c r="L97" s="14"/>
      <c r="M97" s="16">
        <f t="shared" si="2"/>
        <v>203125</v>
      </c>
      <c r="N97" s="14" t="s">
        <v>61</v>
      </c>
      <c r="O97" s="14"/>
      <c r="P97" s="14"/>
    </row>
    <row r="98" spans="1:16" x14ac:dyDescent="0.35">
      <c r="A98" s="13">
        <v>378</v>
      </c>
      <c r="B98" s="13">
        <v>655</v>
      </c>
      <c r="C98" s="13" t="s">
        <v>62</v>
      </c>
      <c r="D98" s="13" t="s">
        <v>73</v>
      </c>
      <c r="E98" s="14" t="s">
        <v>74</v>
      </c>
      <c r="F98" s="15" t="s">
        <v>59</v>
      </c>
      <c r="G98" s="15" t="s">
        <v>60</v>
      </c>
      <c r="H98" s="14"/>
      <c r="I98" s="14" t="s">
        <v>61</v>
      </c>
      <c r="J98" s="14"/>
      <c r="K98" s="16">
        <f>IFERROR(B98*IF(J98&lt;&gt;"",J98,VLOOKUP(E98,Stage_Pricing_Ladder!$A$4:$C$10,3,FALSE())),"")</f>
        <v>212875</v>
      </c>
      <c r="L98" s="14"/>
      <c r="M98" s="16">
        <f t="shared" si="2"/>
        <v>212875</v>
      </c>
      <c r="N98" s="14" t="s">
        <v>61</v>
      </c>
      <c r="O98" s="14"/>
      <c r="P98" s="14"/>
    </row>
    <row r="99" spans="1:16" x14ac:dyDescent="0.35">
      <c r="A99" s="13">
        <v>379</v>
      </c>
      <c r="B99" s="13">
        <v>685</v>
      </c>
      <c r="C99" s="13" t="s">
        <v>62</v>
      </c>
      <c r="D99" s="13" t="s">
        <v>73</v>
      </c>
      <c r="E99" s="14" t="s">
        <v>74</v>
      </c>
      <c r="F99" s="15" t="s">
        <v>59</v>
      </c>
      <c r="G99" s="15" t="s">
        <v>60</v>
      </c>
      <c r="H99" s="14"/>
      <c r="I99" s="14" t="s">
        <v>61</v>
      </c>
      <c r="J99" s="14"/>
      <c r="K99" s="16">
        <f>IFERROR(B99*IF(J99&lt;&gt;"",J99,VLOOKUP(E99,Stage_Pricing_Ladder!$A$4:$C$10,3,FALSE())),"")</f>
        <v>222625</v>
      </c>
      <c r="L99" s="14"/>
      <c r="M99" s="16">
        <f t="shared" ref="M99:M130" si="3">IFERROR(K99+IF(L99="",0,L99),"")</f>
        <v>222625</v>
      </c>
      <c r="N99" s="14" t="s">
        <v>61</v>
      </c>
      <c r="O99" s="14"/>
      <c r="P99" s="14"/>
    </row>
    <row r="100" spans="1:16" x14ac:dyDescent="0.35">
      <c r="A100" s="13">
        <v>380</v>
      </c>
      <c r="B100" s="13">
        <v>715</v>
      </c>
      <c r="C100" s="13" t="s">
        <v>62</v>
      </c>
      <c r="D100" s="13" t="s">
        <v>73</v>
      </c>
      <c r="E100" s="14" t="s">
        <v>74</v>
      </c>
      <c r="F100" s="15" t="s">
        <v>59</v>
      </c>
      <c r="G100" s="15" t="s">
        <v>60</v>
      </c>
      <c r="H100" s="14"/>
      <c r="I100" s="14" t="s">
        <v>61</v>
      </c>
      <c r="J100" s="14"/>
      <c r="K100" s="16">
        <f>IFERROR(B100*IF(J100&lt;&gt;"",J100,VLOOKUP(E100,Stage_Pricing_Ladder!$A$4:$C$10,3,FALSE())),"")</f>
        <v>232375</v>
      </c>
      <c r="L100" s="14"/>
      <c r="M100" s="16">
        <f t="shared" si="3"/>
        <v>232375</v>
      </c>
      <c r="N100" s="14" t="s">
        <v>61</v>
      </c>
      <c r="O100" s="14"/>
      <c r="P100" s="14"/>
    </row>
    <row r="101" spans="1:16" x14ac:dyDescent="0.35">
      <c r="A101" s="13">
        <v>381</v>
      </c>
      <c r="B101" s="13">
        <v>745</v>
      </c>
      <c r="C101" s="13" t="s">
        <v>62</v>
      </c>
      <c r="D101" s="13" t="s">
        <v>73</v>
      </c>
      <c r="E101" s="14" t="s">
        <v>74</v>
      </c>
      <c r="F101" s="15" t="s">
        <v>59</v>
      </c>
      <c r="G101" s="15" t="s">
        <v>60</v>
      </c>
      <c r="H101" s="14"/>
      <c r="I101" s="14" t="s">
        <v>61</v>
      </c>
      <c r="J101" s="14"/>
      <c r="K101" s="16">
        <f>IFERROR(B101*IF(J101&lt;&gt;"",J101,VLOOKUP(E101,Stage_Pricing_Ladder!$A$4:$C$10,3,FALSE())),"")</f>
        <v>242125</v>
      </c>
      <c r="L101" s="14"/>
      <c r="M101" s="16">
        <f t="shared" si="3"/>
        <v>242125</v>
      </c>
      <c r="N101" s="14" t="s">
        <v>61</v>
      </c>
      <c r="O101" s="14"/>
      <c r="P101" s="14"/>
    </row>
    <row r="102" spans="1:16" x14ac:dyDescent="0.35">
      <c r="A102" s="13">
        <v>382</v>
      </c>
      <c r="B102" s="13">
        <v>595</v>
      </c>
      <c r="C102" s="13" t="s">
        <v>62</v>
      </c>
      <c r="D102" s="13" t="s">
        <v>73</v>
      </c>
      <c r="E102" s="14" t="s">
        <v>74</v>
      </c>
      <c r="F102" s="15" t="s">
        <v>59</v>
      </c>
      <c r="G102" s="15" t="s">
        <v>60</v>
      </c>
      <c r="H102" s="14"/>
      <c r="I102" s="14" t="s">
        <v>61</v>
      </c>
      <c r="J102" s="14"/>
      <c r="K102" s="16">
        <f>IFERROR(B102*IF(J102&lt;&gt;"",J102,VLOOKUP(E102,Stage_Pricing_Ladder!$A$4:$C$10,3,FALSE())),"")</f>
        <v>193375</v>
      </c>
      <c r="L102" s="14"/>
      <c r="M102" s="16">
        <f t="shared" si="3"/>
        <v>193375</v>
      </c>
      <c r="N102" s="14" t="s">
        <v>61</v>
      </c>
      <c r="O102" s="14"/>
      <c r="P102" s="14"/>
    </row>
    <row r="103" spans="1:16" x14ac:dyDescent="0.35">
      <c r="A103" s="13">
        <v>383</v>
      </c>
      <c r="B103" s="13">
        <v>625</v>
      </c>
      <c r="C103" s="13" t="s">
        <v>62</v>
      </c>
      <c r="D103" s="13" t="s">
        <v>73</v>
      </c>
      <c r="E103" s="14" t="s">
        <v>74</v>
      </c>
      <c r="F103" s="15" t="s">
        <v>59</v>
      </c>
      <c r="G103" s="15" t="s">
        <v>60</v>
      </c>
      <c r="H103" s="14"/>
      <c r="I103" s="14" t="s">
        <v>61</v>
      </c>
      <c r="J103" s="14"/>
      <c r="K103" s="16">
        <f>IFERROR(B103*IF(J103&lt;&gt;"",J103,VLOOKUP(E103,Stage_Pricing_Ladder!$A$4:$C$10,3,FALSE())),"")</f>
        <v>203125</v>
      </c>
      <c r="L103" s="14"/>
      <c r="M103" s="16">
        <f t="shared" si="3"/>
        <v>203125</v>
      </c>
      <c r="N103" s="14" t="s">
        <v>61</v>
      </c>
      <c r="O103" s="14"/>
      <c r="P103" s="14"/>
    </row>
    <row r="104" spans="1:16" x14ac:dyDescent="0.35">
      <c r="A104" s="13">
        <v>384</v>
      </c>
      <c r="B104" s="13">
        <v>655</v>
      </c>
      <c r="C104" s="13" t="s">
        <v>62</v>
      </c>
      <c r="D104" s="13" t="s">
        <v>73</v>
      </c>
      <c r="E104" s="14" t="s">
        <v>74</v>
      </c>
      <c r="F104" s="15" t="s">
        <v>59</v>
      </c>
      <c r="G104" s="15" t="s">
        <v>60</v>
      </c>
      <c r="H104" s="14"/>
      <c r="I104" s="14" t="s">
        <v>61</v>
      </c>
      <c r="J104" s="14"/>
      <c r="K104" s="16">
        <f>IFERROR(B104*IF(J104&lt;&gt;"",J104,VLOOKUP(E104,Stage_Pricing_Ladder!$A$4:$C$10,3,FALSE())),"")</f>
        <v>212875</v>
      </c>
      <c r="L104" s="14"/>
      <c r="M104" s="16">
        <f t="shared" si="3"/>
        <v>212875</v>
      </c>
      <c r="N104" s="14" t="s">
        <v>61</v>
      </c>
      <c r="O104" s="14"/>
      <c r="P104" s="14"/>
    </row>
    <row r="105" spans="1:16" x14ac:dyDescent="0.35">
      <c r="A105" s="13">
        <v>385</v>
      </c>
      <c r="B105" s="13">
        <v>685</v>
      </c>
      <c r="C105" s="13" t="s">
        <v>62</v>
      </c>
      <c r="D105" s="13" t="s">
        <v>73</v>
      </c>
      <c r="E105" s="14" t="s">
        <v>74</v>
      </c>
      <c r="F105" s="15" t="s">
        <v>59</v>
      </c>
      <c r="G105" s="15" t="s">
        <v>60</v>
      </c>
      <c r="H105" s="14"/>
      <c r="I105" s="14" t="s">
        <v>61</v>
      </c>
      <c r="J105" s="14"/>
      <c r="K105" s="16">
        <f>IFERROR(B105*IF(J105&lt;&gt;"",J105,VLOOKUP(E105,Stage_Pricing_Ladder!$A$4:$C$10,3,FALSE())),"")</f>
        <v>222625</v>
      </c>
      <c r="L105" s="14"/>
      <c r="M105" s="16">
        <f t="shared" si="3"/>
        <v>222625</v>
      </c>
      <c r="N105" s="14" t="s">
        <v>61</v>
      </c>
      <c r="O105" s="14"/>
      <c r="P105" s="14"/>
    </row>
    <row r="106" spans="1:16" x14ac:dyDescent="0.35">
      <c r="A106" s="13">
        <v>386</v>
      </c>
      <c r="B106" s="13">
        <v>715</v>
      </c>
      <c r="C106" s="13" t="s">
        <v>62</v>
      </c>
      <c r="D106" s="13" t="s">
        <v>73</v>
      </c>
      <c r="E106" s="14" t="s">
        <v>74</v>
      </c>
      <c r="F106" s="15" t="s">
        <v>59</v>
      </c>
      <c r="G106" s="15" t="s">
        <v>60</v>
      </c>
      <c r="H106" s="14"/>
      <c r="I106" s="14" t="s">
        <v>61</v>
      </c>
      <c r="J106" s="14"/>
      <c r="K106" s="16">
        <f>IFERROR(B106*IF(J106&lt;&gt;"",J106,VLOOKUP(E106,Stage_Pricing_Ladder!$A$4:$C$10,3,FALSE())),"")</f>
        <v>232375</v>
      </c>
      <c r="L106" s="14"/>
      <c r="M106" s="16">
        <f t="shared" si="3"/>
        <v>232375</v>
      </c>
      <c r="N106" s="14" t="s">
        <v>61</v>
      </c>
      <c r="O106" s="14"/>
      <c r="P106" s="14"/>
    </row>
    <row r="107" spans="1:16" x14ac:dyDescent="0.35">
      <c r="A107" s="13">
        <v>387</v>
      </c>
      <c r="B107" s="13">
        <v>745</v>
      </c>
      <c r="C107" s="13" t="s">
        <v>62</v>
      </c>
      <c r="D107" s="13" t="s">
        <v>73</v>
      </c>
      <c r="E107" s="14" t="s">
        <v>74</v>
      </c>
      <c r="F107" s="15" t="s">
        <v>59</v>
      </c>
      <c r="G107" s="15" t="s">
        <v>60</v>
      </c>
      <c r="H107" s="14"/>
      <c r="I107" s="14" t="s">
        <v>61</v>
      </c>
      <c r="J107" s="14"/>
      <c r="K107" s="16">
        <f>IFERROR(B107*IF(J107&lt;&gt;"",J107,VLOOKUP(E107,Stage_Pricing_Ladder!$A$4:$C$10,3,FALSE())),"")</f>
        <v>242125</v>
      </c>
      <c r="L107" s="14"/>
      <c r="M107" s="16">
        <f t="shared" si="3"/>
        <v>242125</v>
      </c>
      <c r="N107" s="14" t="s">
        <v>61</v>
      </c>
      <c r="O107" s="14"/>
      <c r="P107" s="14"/>
    </row>
    <row r="108" spans="1:16" x14ac:dyDescent="0.35">
      <c r="A108" s="13">
        <v>388</v>
      </c>
      <c r="B108" s="13">
        <v>595</v>
      </c>
      <c r="C108" s="13" t="s">
        <v>62</v>
      </c>
      <c r="D108" s="13" t="s">
        <v>73</v>
      </c>
      <c r="E108" s="14" t="s">
        <v>74</v>
      </c>
      <c r="F108" s="15" t="s">
        <v>59</v>
      </c>
      <c r="G108" s="15" t="s">
        <v>60</v>
      </c>
      <c r="H108" s="14"/>
      <c r="I108" s="14" t="s">
        <v>61</v>
      </c>
      <c r="J108" s="14"/>
      <c r="K108" s="16">
        <f>IFERROR(B108*IF(J108&lt;&gt;"",J108,VLOOKUP(E108,Stage_Pricing_Ladder!$A$4:$C$10,3,FALSE())),"")</f>
        <v>193375</v>
      </c>
      <c r="L108" s="14"/>
      <c r="M108" s="16">
        <f t="shared" si="3"/>
        <v>193375</v>
      </c>
      <c r="N108" s="14" t="s">
        <v>61</v>
      </c>
      <c r="O108" s="14"/>
      <c r="P108" s="14"/>
    </row>
    <row r="109" spans="1:16" x14ac:dyDescent="0.35">
      <c r="A109" s="13">
        <v>389</v>
      </c>
      <c r="B109" s="13">
        <v>625</v>
      </c>
      <c r="C109" s="13" t="s">
        <v>62</v>
      </c>
      <c r="D109" s="13" t="s">
        <v>73</v>
      </c>
      <c r="E109" s="14" t="s">
        <v>74</v>
      </c>
      <c r="F109" s="15" t="s">
        <v>59</v>
      </c>
      <c r="G109" s="15" t="s">
        <v>60</v>
      </c>
      <c r="H109" s="14"/>
      <c r="I109" s="14" t="s">
        <v>61</v>
      </c>
      <c r="J109" s="14"/>
      <c r="K109" s="16">
        <f>IFERROR(B109*IF(J109&lt;&gt;"",J109,VLOOKUP(E109,Stage_Pricing_Ladder!$A$4:$C$10,3,FALSE())),"")</f>
        <v>203125</v>
      </c>
      <c r="L109" s="14"/>
      <c r="M109" s="16">
        <f t="shared" si="3"/>
        <v>203125</v>
      </c>
      <c r="N109" s="14" t="s">
        <v>61</v>
      </c>
      <c r="O109" s="14"/>
      <c r="P109" s="14"/>
    </row>
    <row r="110" spans="1:16" x14ac:dyDescent="0.35">
      <c r="A110" s="13">
        <v>390</v>
      </c>
      <c r="B110" s="13">
        <v>655</v>
      </c>
      <c r="C110" s="13" t="s">
        <v>62</v>
      </c>
      <c r="D110" s="13" t="s">
        <v>73</v>
      </c>
      <c r="E110" s="14" t="s">
        <v>74</v>
      </c>
      <c r="F110" s="15" t="s">
        <v>59</v>
      </c>
      <c r="G110" s="15" t="s">
        <v>60</v>
      </c>
      <c r="H110" s="14"/>
      <c r="I110" s="14" t="s">
        <v>61</v>
      </c>
      <c r="J110" s="14"/>
      <c r="K110" s="16">
        <f>IFERROR(B110*IF(J110&lt;&gt;"",J110,VLOOKUP(E110,Stage_Pricing_Ladder!$A$4:$C$10,3,FALSE())),"")</f>
        <v>212875</v>
      </c>
      <c r="L110" s="14"/>
      <c r="M110" s="16">
        <f t="shared" si="3"/>
        <v>212875</v>
      </c>
      <c r="N110" s="14" t="s">
        <v>61</v>
      </c>
      <c r="O110" s="14"/>
      <c r="P110" s="14"/>
    </row>
    <row r="111" spans="1:16" x14ac:dyDescent="0.35">
      <c r="A111" s="13">
        <v>391</v>
      </c>
      <c r="B111" s="13">
        <v>685</v>
      </c>
      <c r="C111" s="13" t="s">
        <v>62</v>
      </c>
      <c r="D111" s="13" t="s">
        <v>73</v>
      </c>
      <c r="E111" s="14" t="s">
        <v>74</v>
      </c>
      <c r="F111" s="15" t="s">
        <v>59</v>
      </c>
      <c r="G111" s="15" t="s">
        <v>60</v>
      </c>
      <c r="H111" s="14"/>
      <c r="I111" s="14" t="s">
        <v>61</v>
      </c>
      <c r="J111" s="14"/>
      <c r="K111" s="16">
        <f>IFERROR(B111*IF(J111&lt;&gt;"",J111,VLOOKUP(E111,Stage_Pricing_Ladder!$A$4:$C$10,3,FALSE())),"")</f>
        <v>222625</v>
      </c>
      <c r="L111" s="14"/>
      <c r="M111" s="16">
        <f t="shared" si="3"/>
        <v>222625</v>
      </c>
      <c r="N111" s="14" t="s">
        <v>61</v>
      </c>
      <c r="O111" s="14"/>
      <c r="P111" s="14"/>
    </row>
    <row r="112" spans="1:16" x14ac:dyDescent="0.35">
      <c r="A112" s="13">
        <v>392</v>
      </c>
      <c r="B112" s="13">
        <v>715</v>
      </c>
      <c r="C112" s="13" t="s">
        <v>62</v>
      </c>
      <c r="D112" s="13" t="s">
        <v>73</v>
      </c>
      <c r="E112" s="14" t="s">
        <v>74</v>
      </c>
      <c r="F112" s="15" t="s">
        <v>59</v>
      </c>
      <c r="G112" s="15" t="s">
        <v>60</v>
      </c>
      <c r="H112" s="14"/>
      <c r="I112" s="14" t="s">
        <v>61</v>
      </c>
      <c r="J112" s="14"/>
      <c r="K112" s="16">
        <f>IFERROR(B112*IF(J112&lt;&gt;"",J112,VLOOKUP(E112,Stage_Pricing_Ladder!$A$4:$C$10,3,FALSE())),"")</f>
        <v>232375</v>
      </c>
      <c r="L112" s="14"/>
      <c r="M112" s="16">
        <f t="shared" si="3"/>
        <v>232375</v>
      </c>
      <c r="N112" s="14" t="s">
        <v>61</v>
      </c>
      <c r="O112" s="14"/>
      <c r="P112" s="14"/>
    </row>
    <row r="113" spans="1:16" x14ac:dyDescent="0.35">
      <c r="A113" s="13">
        <v>393</v>
      </c>
      <c r="B113" s="13">
        <v>745</v>
      </c>
      <c r="C113" s="13" t="s">
        <v>62</v>
      </c>
      <c r="D113" s="13" t="s">
        <v>73</v>
      </c>
      <c r="E113" s="14" t="s">
        <v>74</v>
      </c>
      <c r="F113" s="15" t="s">
        <v>59</v>
      </c>
      <c r="G113" s="15" t="s">
        <v>60</v>
      </c>
      <c r="H113" s="14"/>
      <c r="I113" s="14" t="s">
        <v>61</v>
      </c>
      <c r="J113" s="14"/>
      <c r="K113" s="16">
        <f>IFERROR(B113*IF(J113&lt;&gt;"",J113,VLOOKUP(E113,Stage_Pricing_Ladder!$A$4:$C$10,3,FALSE())),"")</f>
        <v>242125</v>
      </c>
      <c r="L113" s="14"/>
      <c r="M113" s="16">
        <f t="shared" si="3"/>
        <v>242125</v>
      </c>
      <c r="N113" s="14" t="s">
        <v>61</v>
      </c>
      <c r="O113" s="14"/>
      <c r="P113" s="14"/>
    </row>
    <row r="114" spans="1:16" x14ac:dyDescent="0.35">
      <c r="A114" s="13">
        <v>394</v>
      </c>
      <c r="B114" s="13">
        <v>595</v>
      </c>
      <c r="C114" s="13" t="s">
        <v>62</v>
      </c>
      <c r="D114" s="13" t="s">
        <v>73</v>
      </c>
      <c r="E114" s="14" t="s">
        <v>74</v>
      </c>
      <c r="F114" s="15" t="s">
        <v>59</v>
      </c>
      <c r="G114" s="15" t="s">
        <v>60</v>
      </c>
      <c r="H114" s="14"/>
      <c r="I114" s="14" t="s">
        <v>61</v>
      </c>
      <c r="J114" s="14"/>
      <c r="K114" s="16">
        <f>IFERROR(B114*IF(J114&lt;&gt;"",J114,VLOOKUP(E114,Stage_Pricing_Ladder!$A$4:$C$10,3,FALSE())),"")</f>
        <v>193375</v>
      </c>
      <c r="L114" s="14"/>
      <c r="M114" s="16">
        <f t="shared" si="3"/>
        <v>193375</v>
      </c>
      <c r="N114" s="14" t="s">
        <v>61</v>
      </c>
      <c r="O114" s="14"/>
      <c r="P114" s="14"/>
    </row>
    <row r="115" spans="1:16" x14ac:dyDescent="0.35">
      <c r="A115" s="13">
        <v>395</v>
      </c>
      <c r="B115" s="13">
        <v>625</v>
      </c>
      <c r="C115" s="13" t="s">
        <v>62</v>
      </c>
      <c r="D115" s="13" t="s">
        <v>73</v>
      </c>
      <c r="E115" s="14" t="s">
        <v>74</v>
      </c>
      <c r="F115" s="15" t="s">
        <v>59</v>
      </c>
      <c r="G115" s="15" t="s">
        <v>60</v>
      </c>
      <c r="H115" s="14"/>
      <c r="I115" s="14" t="s">
        <v>61</v>
      </c>
      <c r="J115" s="14"/>
      <c r="K115" s="16">
        <f>IFERROR(B115*IF(J115&lt;&gt;"",J115,VLOOKUP(E115,Stage_Pricing_Ladder!$A$4:$C$10,3,FALSE())),"")</f>
        <v>203125</v>
      </c>
      <c r="L115" s="14"/>
      <c r="M115" s="16">
        <f t="shared" si="3"/>
        <v>203125</v>
      </c>
      <c r="N115" s="14" t="s">
        <v>61</v>
      </c>
      <c r="O115" s="14"/>
      <c r="P115" s="14"/>
    </row>
    <row r="116" spans="1:16" x14ac:dyDescent="0.35">
      <c r="A116" s="13">
        <v>396</v>
      </c>
      <c r="B116" s="13">
        <v>655</v>
      </c>
      <c r="C116" s="13" t="s">
        <v>62</v>
      </c>
      <c r="D116" s="13" t="s">
        <v>73</v>
      </c>
      <c r="E116" s="14" t="s">
        <v>74</v>
      </c>
      <c r="F116" s="15" t="s">
        <v>59</v>
      </c>
      <c r="G116" s="15" t="s">
        <v>60</v>
      </c>
      <c r="H116" s="14"/>
      <c r="I116" s="14" t="s">
        <v>61</v>
      </c>
      <c r="J116" s="14"/>
      <c r="K116" s="16">
        <f>IFERROR(B116*IF(J116&lt;&gt;"",J116,VLOOKUP(E116,Stage_Pricing_Ladder!$A$4:$C$10,3,FALSE())),"")</f>
        <v>212875</v>
      </c>
      <c r="L116" s="14"/>
      <c r="M116" s="16">
        <f t="shared" si="3"/>
        <v>212875</v>
      </c>
      <c r="N116" s="14" t="s">
        <v>61</v>
      </c>
      <c r="O116" s="14"/>
      <c r="P116" s="14"/>
    </row>
    <row r="117" spans="1:16" x14ac:dyDescent="0.35">
      <c r="A117" s="13">
        <v>397</v>
      </c>
      <c r="B117" s="13">
        <v>685</v>
      </c>
      <c r="C117" s="13" t="s">
        <v>62</v>
      </c>
      <c r="D117" s="13" t="s">
        <v>73</v>
      </c>
      <c r="E117" s="14" t="s">
        <v>74</v>
      </c>
      <c r="F117" s="15" t="s">
        <v>59</v>
      </c>
      <c r="G117" s="15" t="s">
        <v>60</v>
      </c>
      <c r="H117" s="14"/>
      <c r="I117" s="14" t="s">
        <v>61</v>
      </c>
      <c r="J117" s="14"/>
      <c r="K117" s="16">
        <f>IFERROR(B117*IF(J117&lt;&gt;"",J117,VLOOKUP(E117,Stage_Pricing_Ladder!$A$4:$C$10,3,FALSE())),"")</f>
        <v>222625</v>
      </c>
      <c r="L117" s="14"/>
      <c r="M117" s="16">
        <f t="shared" si="3"/>
        <v>222625</v>
      </c>
      <c r="N117" s="14" t="s">
        <v>61</v>
      </c>
      <c r="O117" s="14"/>
      <c r="P117" s="14"/>
    </row>
    <row r="118" spans="1:16" x14ac:dyDescent="0.35">
      <c r="A118" s="13">
        <v>398</v>
      </c>
      <c r="B118" s="13">
        <v>715</v>
      </c>
      <c r="C118" s="13" t="s">
        <v>62</v>
      </c>
      <c r="D118" s="13" t="s">
        <v>73</v>
      </c>
      <c r="E118" s="14" t="s">
        <v>74</v>
      </c>
      <c r="F118" s="15" t="s">
        <v>59</v>
      </c>
      <c r="G118" s="15" t="s">
        <v>60</v>
      </c>
      <c r="H118" s="14"/>
      <c r="I118" s="14" t="s">
        <v>61</v>
      </c>
      <c r="J118" s="14"/>
      <c r="K118" s="16">
        <f>IFERROR(B118*IF(J118&lt;&gt;"",J118,VLOOKUP(E118,Stage_Pricing_Ladder!$A$4:$C$10,3,FALSE())),"")</f>
        <v>232375</v>
      </c>
      <c r="L118" s="14"/>
      <c r="M118" s="16">
        <f t="shared" si="3"/>
        <v>232375</v>
      </c>
      <c r="N118" s="14" t="s">
        <v>61</v>
      </c>
      <c r="O118" s="14"/>
      <c r="P118" s="14"/>
    </row>
    <row r="119" spans="1:16" x14ac:dyDescent="0.35">
      <c r="A119" s="13">
        <v>399</v>
      </c>
      <c r="B119" s="13">
        <v>745</v>
      </c>
      <c r="C119" s="13" t="s">
        <v>62</v>
      </c>
      <c r="D119" s="13" t="s">
        <v>73</v>
      </c>
      <c r="E119" s="14" t="s">
        <v>74</v>
      </c>
      <c r="F119" s="15" t="s">
        <v>59</v>
      </c>
      <c r="G119" s="15" t="s">
        <v>60</v>
      </c>
      <c r="H119" s="14"/>
      <c r="I119" s="14" t="s">
        <v>61</v>
      </c>
      <c r="J119" s="14"/>
      <c r="K119" s="16">
        <f>IFERROR(B119*IF(J119&lt;&gt;"",J119,VLOOKUP(E119,Stage_Pricing_Ladder!$A$4:$C$10,3,FALSE())),"")</f>
        <v>242125</v>
      </c>
      <c r="L119" s="14"/>
      <c r="M119" s="16">
        <f t="shared" si="3"/>
        <v>242125</v>
      </c>
      <c r="N119" s="14" t="s">
        <v>61</v>
      </c>
      <c r="O119" s="14"/>
      <c r="P119" s="14"/>
    </row>
    <row r="120" spans="1:16" x14ac:dyDescent="0.35">
      <c r="A120" s="13">
        <v>400</v>
      </c>
      <c r="B120" s="13">
        <v>595</v>
      </c>
      <c r="C120" s="13" t="s">
        <v>62</v>
      </c>
      <c r="D120" s="13" t="s">
        <v>73</v>
      </c>
      <c r="E120" s="14" t="s">
        <v>74</v>
      </c>
      <c r="F120" s="15" t="s">
        <v>59</v>
      </c>
      <c r="G120" s="15" t="s">
        <v>60</v>
      </c>
      <c r="H120" s="14"/>
      <c r="I120" s="14" t="s">
        <v>61</v>
      </c>
      <c r="J120" s="14"/>
      <c r="K120" s="16">
        <f>IFERROR(B120*IF(J120&lt;&gt;"",J120,VLOOKUP(E120,Stage_Pricing_Ladder!$A$4:$C$10,3,FALSE())),"")</f>
        <v>193375</v>
      </c>
      <c r="L120" s="14"/>
      <c r="M120" s="16">
        <f t="shared" si="3"/>
        <v>193375</v>
      </c>
      <c r="N120" s="14" t="s">
        <v>61</v>
      </c>
      <c r="O120" s="14"/>
      <c r="P120" s="14"/>
    </row>
    <row r="121" spans="1:16" x14ac:dyDescent="0.35">
      <c r="A121" s="13">
        <v>401</v>
      </c>
      <c r="B121" s="13">
        <v>625</v>
      </c>
      <c r="C121" s="13" t="s">
        <v>62</v>
      </c>
      <c r="D121" s="13" t="s">
        <v>73</v>
      </c>
      <c r="E121" s="14" t="s">
        <v>74</v>
      </c>
      <c r="F121" s="15" t="s">
        <v>59</v>
      </c>
      <c r="G121" s="15" t="s">
        <v>60</v>
      </c>
      <c r="H121" s="14"/>
      <c r="I121" s="14" t="s">
        <v>61</v>
      </c>
      <c r="J121" s="14"/>
      <c r="K121" s="16">
        <f>IFERROR(B121*IF(J121&lt;&gt;"",J121,VLOOKUP(E121,Stage_Pricing_Ladder!$A$4:$C$10,3,FALSE())),"")</f>
        <v>203125</v>
      </c>
      <c r="L121" s="14"/>
      <c r="M121" s="16">
        <f t="shared" si="3"/>
        <v>203125</v>
      </c>
      <c r="N121" s="14" t="s">
        <v>61</v>
      </c>
      <c r="O121" s="14"/>
      <c r="P121" s="14"/>
    </row>
    <row r="122" spans="1:16" x14ac:dyDescent="0.35">
      <c r="A122" s="13">
        <v>402</v>
      </c>
      <c r="B122" s="13">
        <v>655</v>
      </c>
      <c r="C122" s="13" t="s">
        <v>62</v>
      </c>
      <c r="D122" s="13" t="s">
        <v>73</v>
      </c>
      <c r="E122" s="14" t="s">
        <v>74</v>
      </c>
      <c r="F122" s="15" t="s">
        <v>59</v>
      </c>
      <c r="G122" s="15" t="s">
        <v>60</v>
      </c>
      <c r="H122" s="14"/>
      <c r="I122" s="14" t="s">
        <v>61</v>
      </c>
      <c r="J122" s="14"/>
      <c r="K122" s="16">
        <f>IFERROR(B122*IF(J122&lt;&gt;"",J122,VLOOKUP(E122,Stage_Pricing_Ladder!$A$4:$C$10,3,FALSE())),"")</f>
        <v>212875</v>
      </c>
      <c r="L122" s="14"/>
      <c r="M122" s="16">
        <f t="shared" si="3"/>
        <v>212875</v>
      </c>
      <c r="N122" s="14" t="s">
        <v>61</v>
      </c>
      <c r="O122" s="14"/>
      <c r="P122" s="14"/>
    </row>
    <row r="123" spans="1:16" x14ac:dyDescent="0.35">
      <c r="A123" s="13">
        <v>403</v>
      </c>
      <c r="B123" s="13">
        <v>685</v>
      </c>
      <c r="C123" s="13" t="s">
        <v>62</v>
      </c>
      <c r="D123" s="13" t="s">
        <v>73</v>
      </c>
      <c r="E123" s="14" t="s">
        <v>74</v>
      </c>
      <c r="F123" s="15" t="s">
        <v>59</v>
      </c>
      <c r="G123" s="15" t="s">
        <v>60</v>
      </c>
      <c r="H123" s="14"/>
      <c r="I123" s="14" t="s">
        <v>61</v>
      </c>
      <c r="J123" s="14"/>
      <c r="K123" s="16">
        <f>IFERROR(B123*IF(J123&lt;&gt;"",J123,VLOOKUP(E123,Stage_Pricing_Ladder!$A$4:$C$10,3,FALSE())),"")</f>
        <v>222625</v>
      </c>
      <c r="L123" s="14"/>
      <c r="M123" s="16">
        <f t="shared" si="3"/>
        <v>222625</v>
      </c>
      <c r="N123" s="14" t="s">
        <v>61</v>
      </c>
      <c r="O123" s="14"/>
      <c r="P123" s="14"/>
    </row>
    <row r="124" spans="1:16" x14ac:dyDescent="0.35">
      <c r="A124" s="13">
        <v>404</v>
      </c>
      <c r="B124" s="13">
        <v>715</v>
      </c>
      <c r="C124" s="13" t="s">
        <v>62</v>
      </c>
      <c r="D124" s="13" t="s">
        <v>73</v>
      </c>
      <c r="E124" s="14" t="s">
        <v>74</v>
      </c>
      <c r="F124" s="15" t="s">
        <v>59</v>
      </c>
      <c r="G124" s="15" t="s">
        <v>60</v>
      </c>
      <c r="H124" s="14"/>
      <c r="I124" s="14" t="s">
        <v>61</v>
      </c>
      <c r="J124" s="14"/>
      <c r="K124" s="16">
        <f>IFERROR(B124*IF(J124&lt;&gt;"",J124,VLOOKUP(E124,Stage_Pricing_Ladder!$A$4:$C$10,3,FALSE())),"")</f>
        <v>232375</v>
      </c>
      <c r="L124" s="14"/>
      <c r="M124" s="16">
        <f t="shared" si="3"/>
        <v>232375</v>
      </c>
      <c r="N124" s="14" t="s">
        <v>61</v>
      </c>
      <c r="O124" s="14"/>
      <c r="P124" s="14"/>
    </row>
    <row r="125" spans="1:16" x14ac:dyDescent="0.35">
      <c r="A125" s="13">
        <v>405</v>
      </c>
      <c r="B125" s="13">
        <v>700</v>
      </c>
      <c r="C125" s="13" t="s">
        <v>56</v>
      </c>
      <c r="D125" s="13" t="s">
        <v>75</v>
      </c>
      <c r="E125" s="14" t="s">
        <v>76</v>
      </c>
      <c r="F125" s="15" t="s">
        <v>59</v>
      </c>
      <c r="G125" s="15" t="s">
        <v>60</v>
      </c>
      <c r="H125" s="14"/>
      <c r="I125" s="14" t="s">
        <v>61</v>
      </c>
      <c r="J125" s="14"/>
      <c r="K125" s="16">
        <f>IFERROR(B125*IF(J125&lt;&gt;"",J125,VLOOKUP(E125,Stage_Pricing_Ladder!$A$4:$C$10,3,FALSE())),"")</f>
        <v>238000</v>
      </c>
      <c r="L125" s="14"/>
      <c r="M125" s="16">
        <f t="shared" si="3"/>
        <v>238000</v>
      </c>
      <c r="N125" s="14" t="s">
        <v>61</v>
      </c>
      <c r="O125" s="14"/>
      <c r="P125" s="14"/>
    </row>
    <row r="126" spans="1:16" x14ac:dyDescent="0.35">
      <c r="A126" s="13">
        <v>406</v>
      </c>
      <c r="B126" s="13">
        <v>740</v>
      </c>
      <c r="C126" s="13" t="s">
        <v>56</v>
      </c>
      <c r="D126" s="13" t="s">
        <v>75</v>
      </c>
      <c r="E126" s="14" t="s">
        <v>76</v>
      </c>
      <c r="F126" s="15" t="s">
        <v>59</v>
      </c>
      <c r="G126" s="15" t="s">
        <v>60</v>
      </c>
      <c r="H126" s="14"/>
      <c r="I126" s="14" t="s">
        <v>61</v>
      </c>
      <c r="J126" s="14"/>
      <c r="K126" s="16">
        <f>IFERROR(B126*IF(J126&lt;&gt;"",J126,VLOOKUP(E126,Stage_Pricing_Ladder!$A$4:$C$10,3,FALSE())),"")</f>
        <v>251600</v>
      </c>
      <c r="L126" s="14"/>
      <c r="M126" s="16">
        <f t="shared" si="3"/>
        <v>251600</v>
      </c>
      <c r="N126" s="14" t="s">
        <v>61</v>
      </c>
      <c r="O126" s="14"/>
      <c r="P126" s="14"/>
    </row>
    <row r="127" spans="1:16" x14ac:dyDescent="0.35">
      <c r="A127" s="13">
        <v>407</v>
      </c>
      <c r="B127" s="13">
        <v>780</v>
      </c>
      <c r="C127" s="13" t="s">
        <v>56</v>
      </c>
      <c r="D127" s="13" t="s">
        <v>75</v>
      </c>
      <c r="E127" s="14" t="s">
        <v>76</v>
      </c>
      <c r="F127" s="15" t="s">
        <v>59</v>
      </c>
      <c r="G127" s="15" t="s">
        <v>60</v>
      </c>
      <c r="H127" s="14"/>
      <c r="I127" s="14" t="s">
        <v>61</v>
      </c>
      <c r="J127" s="14"/>
      <c r="K127" s="16">
        <f>IFERROR(B127*IF(J127&lt;&gt;"",J127,VLOOKUP(E127,Stage_Pricing_Ladder!$A$4:$C$10,3,FALSE())),"")</f>
        <v>265200</v>
      </c>
      <c r="L127" s="14"/>
      <c r="M127" s="16">
        <f t="shared" si="3"/>
        <v>265200</v>
      </c>
      <c r="N127" s="14" t="s">
        <v>61</v>
      </c>
      <c r="O127" s="14"/>
      <c r="P127" s="14"/>
    </row>
    <row r="128" spans="1:16" x14ac:dyDescent="0.35">
      <c r="A128" s="13">
        <v>408</v>
      </c>
      <c r="B128" s="13">
        <v>820</v>
      </c>
      <c r="C128" s="13" t="s">
        <v>56</v>
      </c>
      <c r="D128" s="13" t="s">
        <v>75</v>
      </c>
      <c r="E128" s="14" t="s">
        <v>76</v>
      </c>
      <c r="F128" s="15" t="s">
        <v>59</v>
      </c>
      <c r="G128" s="15" t="s">
        <v>60</v>
      </c>
      <c r="H128" s="14"/>
      <c r="I128" s="14" t="s">
        <v>61</v>
      </c>
      <c r="J128" s="14"/>
      <c r="K128" s="16">
        <f>IFERROR(B128*IF(J128&lt;&gt;"",J128,VLOOKUP(E128,Stage_Pricing_Ladder!$A$4:$C$10,3,FALSE())),"")</f>
        <v>278800</v>
      </c>
      <c r="L128" s="14"/>
      <c r="M128" s="16">
        <f t="shared" si="3"/>
        <v>278800</v>
      </c>
      <c r="N128" s="14" t="s">
        <v>61</v>
      </c>
      <c r="O128" s="14"/>
      <c r="P128" s="14"/>
    </row>
    <row r="129" spans="1:16" x14ac:dyDescent="0.35">
      <c r="A129" s="13">
        <v>409</v>
      </c>
      <c r="B129" s="13">
        <v>700</v>
      </c>
      <c r="C129" s="13" t="s">
        <v>56</v>
      </c>
      <c r="D129" s="13" t="s">
        <v>75</v>
      </c>
      <c r="E129" s="14" t="s">
        <v>76</v>
      </c>
      <c r="F129" s="15" t="s">
        <v>59</v>
      </c>
      <c r="G129" s="15" t="s">
        <v>60</v>
      </c>
      <c r="H129" s="14"/>
      <c r="I129" s="14" t="s">
        <v>61</v>
      </c>
      <c r="J129" s="14"/>
      <c r="K129" s="16">
        <f>IFERROR(B129*IF(J129&lt;&gt;"",J129,VLOOKUP(E129,Stage_Pricing_Ladder!$A$4:$C$10,3,FALSE())),"")</f>
        <v>238000</v>
      </c>
      <c r="L129" s="14"/>
      <c r="M129" s="16">
        <f t="shared" si="3"/>
        <v>238000</v>
      </c>
      <c r="N129" s="14" t="s">
        <v>61</v>
      </c>
      <c r="O129" s="14"/>
      <c r="P129" s="14"/>
    </row>
    <row r="130" spans="1:16" x14ac:dyDescent="0.35">
      <c r="A130" s="13">
        <v>410</v>
      </c>
      <c r="B130" s="13">
        <v>740</v>
      </c>
      <c r="C130" s="13" t="s">
        <v>56</v>
      </c>
      <c r="D130" s="13" t="s">
        <v>75</v>
      </c>
      <c r="E130" s="14" t="s">
        <v>76</v>
      </c>
      <c r="F130" s="15" t="s">
        <v>59</v>
      </c>
      <c r="G130" s="15" t="s">
        <v>60</v>
      </c>
      <c r="H130" s="14"/>
      <c r="I130" s="14" t="s">
        <v>61</v>
      </c>
      <c r="J130" s="14"/>
      <c r="K130" s="16">
        <f>IFERROR(B130*IF(J130&lt;&gt;"",J130,VLOOKUP(E130,Stage_Pricing_Ladder!$A$4:$C$10,3,FALSE())),"")</f>
        <v>251600</v>
      </c>
      <c r="L130" s="14"/>
      <c r="M130" s="16">
        <f t="shared" si="3"/>
        <v>251600</v>
      </c>
      <c r="N130" s="14" t="s">
        <v>61</v>
      </c>
      <c r="O130" s="14"/>
      <c r="P130" s="14"/>
    </row>
    <row r="131" spans="1:16" x14ac:dyDescent="0.35">
      <c r="A131" s="13">
        <v>411</v>
      </c>
      <c r="B131" s="13">
        <v>780</v>
      </c>
      <c r="C131" s="13" t="s">
        <v>56</v>
      </c>
      <c r="D131" s="13" t="s">
        <v>75</v>
      </c>
      <c r="E131" s="14" t="s">
        <v>76</v>
      </c>
      <c r="F131" s="15" t="s">
        <v>59</v>
      </c>
      <c r="G131" s="15" t="s">
        <v>60</v>
      </c>
      <c r="H131" s="14"/>
      <c r="I131" s="14" t="s">
        <v>61</v>
      </c>
      <c r="J131" s="14"/>
      <c r="K131" s="16">
        <f>IFERROR(B131*IF(J131&lt;&gt;"",J131,VLOOKUP(E131,Stage_Pricing_Ladder!$A$4:$C$10,3,FALSE())),"")</f>
        <v>265200</v>
      </c>
      <c r="L131" s="14"/>
      <c r="M131" s="16">
        <f t="shared" ref="M131:M162" si="4">IFERROR(K131+IF(L131="",0,L131),"")</f>
        <v>265200</v>
      </c>
      <c r="N131" s="14" t="s">
        <v>61</v>
      </c>
      <c r="O131" s="14"/>
      <c r="P131" s="14"/>
    </row>
    <row r="132" spans="1:16" x14ac:dyDescent="0.35">
      <c r="A132" s="13">
        <v>412</v>
      </c>
      <c r="B132" s="13">
        <v>820</v>
      </c>
      <c r="C132" s="13" t="s">
        <v>56</v>
      </c>
      <c r="D132" s="13" t="s">
        <v>75</v>
      </c>
      <c r="E132" s="14" t="s">
        <v>76</v>
      </c>
      <c r="F132" s="15" t="s">
        <v>59</v>
      </c>
      <c r="G132" s="15" t="s">
        <v>60</v>
      </c>
      <c r="H132" s="14"/>
      <c r="I132" s="14" t="s">
        <v>61</v>
      </c>
      <c r="J132" s="14"/>
      <c r="K132" s="16">
        <f>IFERROR(B132*IF(J132&lt;&gt;"",J132,VLOOKUP(E132,Stage_Pricing_Ladder!$A$4:$C$10,3,FALSE())),"")</f>
        <v>278800</v>
      </c>
      <c r="L132" s="14"/>
      <c r="M132" s="16">
        <f t="shared" si="4"/>
        <v>278800</v>
      </c>
      <c r="N132" s="14" t="s">
        <v>61</v>
      </c>
      <c r="O132" s="14"/>
      <c r="P132" s="14"/>
    </row>
    <row r="133" spans="1:16" x14ac:dyDescent="0.35">
      <c r="A133" s="13">
        <v>413</v>
      </c>
      <c r="B133" s="13">
        <v>700</v>
      </c>
      <c r="C133" s="13" t="s">
        <v>56</v>
      </c>
      <c r="D133" s="13" t="s">
        <v>75</v>
      </c>
      <c r="E133" s="14" t="s">
        <v>76</v>
      </c>
      <c r="F133" s="15" t="s">
        <v>59</v>
      </c>
      <c r="G133" s="15" t="s">
        <v>60</v>
      </c>
      <c r="H133" s="14"/>
      <c r="I133" s="14" t="s">
        <v>61</v>
      </c>
      <c r="J133" s="14"/>
      <c r="K133" s="16">
        <f>IFERROR(B133*IF(J133&lt;&gt;"",J133,VLOOKUP(E133,Stage_Pricing_Ladder!$A$4:$C$10,3,FALSE())),"")</f>
        <v>238000</v>
      </c>
      <c r="L133" s="14"/>
      <c r="M133" s="16">
        <f t="shared" si="4"/>
        <v>238000</v>
      </c>
      <c r="N133" s="14" t="s">
        <v>61</v>
      </c>
      <c r="O133" s="14"/>
      <c r="P133" s="14"/>
    </row>
    <row r="134" spans="1:16" x14ac:dyDescent="0.35">
      <c r="A134" s="13">
        <v>414</v>
      </c>
      <c r="B134" s="13">
        <v>740</v>
      </c>
      <c r="C134" s="13" t="s">
        <v>56</v>
      </c>
      <c r="D134" s="13" t="s">
        <v>75</v>
      </c>
      <c r="E134" s="14" t="s">
        <v>76</v>
      </c>
      <c r="F134" s="15" t="s">
        <v>59</v>
      </c>
      <c r="G134" s="15" t="s">
        <v>60</v>
      </c>
      <c r="H134" s="14"/>
      <c r="I134" s="14" t="s">
        <v>61</v>
      </c>
      <c r="J134" s="14"/>
      <c r="K134" s="16">
        <f>IFERROR(B134*IF(J134&lt;&gt;"",J134,VLOOKUP(E134,Stage_Pricing_Ladder!$A$4:$C$10,3,FALSE())),"")</f>
        <v>251600</v>
      </c>
      <c r="L134" s="14"/>
      <c r="M134" s="16">
        <f t="shared" si="4"/>
        <v>251600</v>
      </c>
      <c r="N134" s="14" t="s">
        <v>61</v>
      </c>
      <c r="O134" s="14"/>
      <c r="P134" s="14"/>
    </row>
    <row r="135" spans="1:16" x14ac:dyDescent="0.35">
      <c r="A135" s="13">
        <v>415</v>
      </c>
      <c r="B135" s="13">
        <v>780</v>
      </c>
      <c r="C135" s="13" t="s">
        <v>56</v>
      </c>
      <c r="D135" s="13" t="s">
        <v>75</v>
      </c>
      <c r="E135" s="14" t="s">
        <v>76</v>
      </c>
      <c r="F135" s="15" t="s">
        <v>59</v>
      </c>
      <c r="G135" s="15" t="s">
        <v>60</v>
      </c>
      <c r="H135" s="14"/>
      <c r="I135" s="14" t="s">
        <v>61</v>
      </c>
      <c r="J135" s="14"/>
      <c r="K135" s="16">
        <f>IFERROR(B135*IF(J135&lt;&gt;"",J135,VLOOKUP(E135,Stage_Pricing_Ladder!$A$4:$C$10,3,FALSE())),"")</f>
        <v>265200</v>
      </c>
      <c r="L135" s="14"/>
      <c r="M135" s="16">
        <f t="shared" si="4"/>
        <v>265200</v>
      </c>
      <c r="N135" s="14" t="s">
        <v>61</v>
      </c>
      <c r="O135" s="14"/>
      <c r="P135" s="14"/>
    </row>
    <row r="136" spans="1:16" x14ac:dyDescent="0.35">
      <c r="A136" s="13">
        <v>416</v>
      </c>
      <c r="B136" s="13">
        <v>820</v>
      </c>
      <c r="C136" s="13" t="s">
        <v>56</v>
      </c>
      <c r="D136" s="13" t="s">
        <v>75</v>
      </c>
      <c r="E136" s="14" t="s">
        <v>76</v>
      </c>
      <c r="F136" s="15" t="s">
        <v>59</v>
      </c>
      <c r="G136" s="15" t="s">
        <v>60</v>
      </c>
      <c r="H136" s="14"/>
      <c r="I136" s="14" t="s">
        <v>61</v>
      </c>
      <c r="J136" s="14"/>
      <c r="K136" s="16">
        <f>IFERROR(B136*IF(J136&lt;&gt;"",J136,VLOOKUP(E136,Stage_Pricing_Ladder!$A$4:$C$10,3,FALSE())),"")</f>
        <v>278800</v>
      </c>
      <c r="L136" s="14"/>
      <c r="M136" s="16">
        <f t="shared" si="4"/>
        <v>278800</v>
      </c>
      <c r="N136" s="14" t="s">
        <v>61</v>
      </c>
      <c r="O136" s="14"/>
      <c r="P136" s="14"/>
    </row>
    <row r="137" spans="1:16" x14ac:dyDescent="0.35">
      <c r="A137" s="13">
        <v>417</v>
      </c>
      <c r="B137" s="13">
        <v>700</v>
      </c>
      <c r="C137" s="13" t="s">
        <v>56</v>
      </c>
      <c r="D137" s="13" t="s">
        <v>75</v>
      </c>
      <c r="E137" s="14" t="s">
        <v>76</v>
      </c>
      <c r="F137" s="15" t="s">
        <v>59</v>
      </c>
      <c r="G137" s="15" t="s">
        <v>60</v>
      </c>
      <c r="H137" s="14"/>
      <c r="I137" s="14" t="s">
        <v>61</v>
      </c>
      <c r="J137" s="14"/>
      <c r="K137" s="16">
        <f>IFERROR(B137*IF(J137&lt;&gt;"",J137,VLOOKUP(E137,Stage_Pricing_Ladder!$A$4:$C$10,3,FALSE())),"")</f>
        <v>238000</v>
      </c>
      <c r="L137" s="14"/>
      <c r="M137" s="16">
        <f t="shared" si="4"/>
        <v>238000</v>
      </c>
      <c r="N137" s="14" t="s">
        <v>61</v>
      </c>
      <c r="O137" s="14"/>
      <c r="P137" s="14"/>
    </row>
    <row r="138" spans="1:16" x14ac:dyDescent="0.35">
      <c r="A138" s="13">
        <v>418</v>
      </c>
      <c r="B138" s="13">
        <v>740</v>
      </c>
      <c r="C138" s="13" t="s">
        <v>56</v>
      </c>
      <c r="D138" s="13" t="s">
        <v>75</v>
      </c>
      <c r="E138" s="14" t="s">
        <v>76</v>
      </c>
      <c r="F138" s="15" t="s">
        <v>59</v>
      </c>
      <c r="G138" s="15" t="s">
        <v>60</v>
      </c>
      <c r="H138" s="14"/>
      <c r="I138" s="14" t="s">
        <v>61</v>
      </c>
      <c r="J138" s="14"/>
      <c r="K138" s="16">
        <f>IFERROR(B138*IF(J138&lt;&gt;"",J138,VLOOKUP(E138,Stage_Pricing_Ladder!$A$4:$C$10,3,FALSE())),"")</f>
        <v>251600</v>
      </c>
      <c r="L138" s="14"/>
      <c r="M138" s="16">
        <f t="shared" si="4"/>
        <v>251600</v>
      </c>
      <c r="N138" s="14" t="s">
        <v>61</v>
      </c>
      <c r="O138" s="14"/>
      <c r="P138" s="14"/>
    </row>
    <row r="139" spans="1:16" x14ac:dyDescent="0.35">
      <c r="A139" s="13">
        <v>419</v>
      </c>
      <c r="B139" s="13">
        <v>780</v>
      </c>
      <c r="C139" s="13" t="s">
        <v>56</v>
      </c>
      <c r="D139" s="13" t="s">
        <v>75</v>
      </c>
      <c r="E139" s="14" t="s">
        <v>76</v>
      </c>
      <c r="F139" s="15" t="s">
        <v>59</v>
      </c>
      <c r="G139" s="15" t="s">
        <v>60</v>
      </c>
      <c r="H139" s="14"/>
      <c r="I139" s="14" t="s">
        <v>61</v>
      </c>
      <c r="J139" s="14"/>
      <c r="K139" s="16">
        <f>IFERROR(B139*IF(J139&lt;&gt;"",J139,VLOOKUP(E139,Stage_Pricing_Ladder!$A$4:$C$10,3,FALSE())),"")</f>
        <v>265200</v>
      </c>
      <c r="L139" s="14"/>
      <c r="M139" s="16">
        <f t="shared" si="4"/>
        <v>265200</v>
      </c>
      <c r="N139" s="14" t="s">
        <v>61</v>
      </c>
      <c r="O139" s="14"/>
      <c r="P139" s="14"/>
    </row>
    <row r="140" spans="1:16" x14ac:dyDescent="0.35">
      <c r="A140" s="13">
        <v>420</v>
      </c>
      <c r="B140" s="13">
        <v>820</v>
      </c>
      <c r="C140" s="13" t="s">
        <v>56</v>
      </c>
      <c r="D140" s="13" t="s">
        <v>75</v>
      </c>
      <c r="E140" s="14" t="s">
        <v>76</v>
      </c>
      <c r="F140" s="15" t="s">
        <v>59</v>
      </c>
      <c r="G140" s="15" t="s">
        <v>60</v>
      </c>
      <c r="H140" s="14"/>
      <c r="I140" s="14" t="s">
        <v>61</v>
      </c>
      <c r="J140" s="14"/>
      <c r="K140" s="16">
        <f>IFERROR(B140*IF(J140&lt;&gt;"",J140,VLOOKUP(E140,Stage_Pricing_Ladder!$A$4:$C$10,3,FALSE())),"")</f>
        <v>278800</v>
      </c>
      <c r="L140" s="14"/>
      <c r="M140" s="16">
        <f t="shared" si="4"/>
        <v>278800</v>
      </c>
      <c r="N140" s="14" t="s">
        <v>61</v>
      </c>
      <c r="O140" s="14"/>
      <c r="P140" s="14"/>
    </row>
    <row r="141" spans="1:16" x14ac:dyDescent="0.35">
      <c r="A141" s="13">
        <v>421</v>
      </c>
      <c r="B141" s="13">
        <v>700</v>
      </c>
      <c r="C141" s="13" t="s">
        <v>56</v>
      </c>
      <c r="D141" s="13" t="s">
        <v>75</v>
      </c>
      <c r="E141" s="14" t="s">
        <v>76</v>
      </c>
      <c r="F141" s="15" t="s">
        <v>59</v>
      </c>
      <c r="G141" s="15" t="s">
        <v>60</v>
      </c>
      <c r="H141" s="14"/>
      <c r="I141" s="14" t="s">
        <v>61</v>
      </c>
      <c r="J141" s="14"/>
      <c r="K141" s="16">
        <f>IFERROR(B141*IF(J141&lt;&gt;"",J141,VLOOKUP(E141,Stage_Pricing_Ladder!$A$4:$C$10,3,FALSE())),"")</f>
        <v>238000</v>
      </c>
      <c r="L141" s="14"/>
      <c r="M141" s="16">
        <f t="shared" si="4"/>
        <v>238000</v>
      </c>
      <c r="N141" s="14" t="s">
        <v>61</v>
      </c>
      <c r="O141" s="14"/>
      <c r="P141" s="14"/>
    </row>
    <row r="142" spans="1:16" x14ac:dyDescent="0.35">
      <c r="A142" s="13">
        <v>422</v>
      </c>
      <c r="B142" s="13">
        <v>740</v>
      </c>
      <c r="C142" s="13" t="s">
        <v>56</v>
      </c>
      <c r="D142" s="13" t="s">
        <v>75</v>
      </c>
      <c r="E142" s="14" t="s">
        <v>76</v>
      </c>
      <c r="F142" s="15" t="s">
        <v>59</v>
      </c>
      <c r="G142" s="15" t="s">
        <v>60</v>
      </c>
      <c r="H142" s="14"/>
      <c r="I142" s="14" t="s">
        <v>61</v>
      </c>
      <c r="J142" s="14"/>
      <c r="K142" s="16">
        <f>IFERROR(B142*IF(J142&lt;&gt;"",J142,VLOOKUP(E142,Stage_Pricing_Ladder!$A$4:$C$10,3,FALSE())),"")</f>
        <v>251600</v>
      </c>
      <c r="L142" s="14"/>
      <c r="M142" s="16">
        <f t="shared" si="4"/>
        <v>251600</v>
      </c>
      <c r="N142" s="14" t="s">
        <v>61</v>
      </c>
      <c r="O142" s="14"/>
      <c r="P142" s="14"/>
    </row>
    <row r="143" spans="1:16" x14ac:dyDescent="0.35">
      <c r="A143" s="13">
        <v>423</v>
      </c>
      <c r="B143" s="13">
        <v>780</v>
      </c>
      <c r="C143" s="13" t="s">
        <v>56</v>
      </c>
      <c r="D143" s="13" t="s">
        <v>75</v>
      </c>
      <c r="E143" s="14" t="s">
        <v>76</v>
      </c>
      <c r="F143" s="15" t="s">
        <v>59</v>
      </c>
      <c r="G143" s="15" t="s">
        <v>60</v>
      </c>
      <c r="H143" s="14"/>
      <c r="I143" s="14" t="s">
        <v>61</v>
      </c>
      <c r="J143" s="14"/>
      <c r="K143" s="16">
        <f>IFERROR(B143*IF(J143&lt;&gt;"",J143,VLOOKUP(E143,Stage_Pricing_Ladder!$A$4:$C$10,3,FALSE())),"")</f>
        <v>265200</v>
      </c>
      <c r="L143" s="14"/>
      <c r="M143" s="16">
        <f t="shared" si="4"/>
        <v>265200</v>
      </c>
      <c r="N143" s="14" t="s">
        <v>61</v>
      </c>
      <c r="O143" s="14"/>
      <c r="P143" s="14"/>
    </row>
    <row r="144" spans="1:16" x14ac:dyDescent="0.35">
      <c r="A144" s="13">
        <v>424</v>
      </c>
      <c r="B144" s="13">
        <v>820</v>
      </c>
      <c r="C144" s="13" t="s">
        <v>56</v>
      </c>
      <c r="D144" s="13" t="s">
        <v>75</v>
      </c>
      <c r="E144" s="14" t="s">
        <v>76</v>
      </c>
      <c r="F144" s="15" t="s">
        <v>59</v>
      </c>
      <c r="G144" s="15" t="s">
        <v>60</v>
      </c>
      <c r="H144" s="14"/>
      <c r="I144" s="14" t="s">
        <v>61</v>
      </c>
      <c r="J144" s="14"/>
      <c r="K144" s="16">
        <f>IFERROR(B144*IF(J144&lt;&gt;"",J144,VLOOKUP(E144,Stage_Pricing_Ladder!$A$4:$C$10,3,FALSE())),"")</f>
        <v>278800</v>
      </c>
      <c r="L144" s="14"/>
      <c r="M144" s="16">
        <f t="shared" si="4"/>
        <v>278800</v>
      </c>
      <c r="N144" s="14" t="s">
        <v>61</v>
      </c>
      <c r="O144" s="14"/>
      <c r="P144" s="14"/>
    </row>
    <row r="146" spans="1:13" x14ac:dyDescent="0.35">
      <c r="A146" s="17" t="s">
        <v>77</v>
      </c>
      <c r="B146" s="18">
        <f>SUM(B3:B144)</f>
        <v>95842</v>
      </c>
      <c r="K146" s="19">
        <f>SUM(K3:K144)</f>
        <v>28863955</v>
      </c>
      <c r="M146" s="19">
        <f>SUM(M3:M144)</f>
        <v>28863955</v>
      </c>
    </row>
  </sheetData>
  <mergeCells count="1">
    <mergeCell ref="A1:P1"/>
  </mergeCells>
  <dataValidations count="4">
    <dataValidation type="list" allowBlank="1" errorTitle="Invalid status" error="Pick from list" sqref="F3:F144" xr:uid="{00000000-0002-0000-0100-000000000000}">
      <formula1>"Available,Reserved,Withheld,Sold,Backup List"</formula1>
      <formula2>0</formula2>
    </dataValidation>
    <dataValidation type="list" allowBlank="1" sqref="G3:G144" xr:uid="{00000000-0002-0000-0100-000001000000}">
      <formula1>"Public,GROH,Baurimus,Takken,WACHS,F2K Withheld,Display Home,Heritage Retained"</formula1>
      <formula2>0</formula2>
    </dataValidation>
    <dataValidation type="list" sqref="E3:E144" xr:uid="{00000000-0002-0000-0100-000002000000}">
      <formula1>"Stage 1,Stage 2,Stage 3,Stage 4,Stage 5,Stage 6,Stage 7"</formula1>
      <formula2>0</formula2>
    </dataValidation>
    <dataValidation type="list" allowBlank="1" sqref="I3:I144 N3:N144" xr:uid="{00000000-0002-0000-0100-000003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zoomScaleNormal="100" workbookViewId="0"/>
  </sheetViews>
  <sheetFormatPr defaultColWidth="8.6328125" defaultRowHeight="14.5" x14ac:dyDescent="0.35"/>
  <cols>
    <col min="1" max="1" width="10" customWidth="1"/>
    <col min="2" max="2" width="24" customWidth="1"/>
    <col min="3" max="5" width="18" customWidth="1"/>
    <col min="6" max="6" width="30" customWidth="1"/>
    <col min="7" max="7" width="4" customWidth="1"/>
    <col min="8" max="8" width="28" customWidth="1"/>
    <col min="9" max="9" width="14" customWidth="1"/>
  </cols>
  <sheetData>
    <row r="1" spans="1:9" ht="15.5" x14ac:dyDescent="0.35">
      <c r="A1" s="1" t="s">
        <v>78</v>
      </c>
      <c r="B1" s="1"/>
      <c r="C1" s="1"/>
      <c r="D1" s="1"/>
      <c r="E1" s="1"/>
      <c r="F1" s="1"/>
      <c r="H1" s="20" t="s">
        <v>79</v>
      </c>
      <c r="I1" s="21">
        <v>250</v>
      </c>
    </row>
    <row r="2" spans="1:9" x14ac:dyDescent="0.35">
      <c r="A2" s="2" t="s">
        <v>80</v>
      </c>
      <c r="B2" s="2"/>
      <c r="C2" s="2"/>
      <c r="D2" s="2"/>
      <c r="E2" s="2"/>
      <c r="F2" s="2"/>
      <c r="H2" s="20" t="s">
        <v>81</v>
      </c>
      <c r="I2" s="21">
        <v>15</v>
      </c>
    </row>
    <row r="3" spans="1:9" ht="31.5" customHeight="1" x14ac:dyDescent="0.35">
      <c r="A3" s="12" t="s">
        <v>44</v>
      </c>
      <c r="B3" s="12" t="s">
        <v>82</v>
      </c>
      <c r="C3" s="12" t="s">
        <v>83</v>
      </c>
      <c r="D3" s="12" t="s">
        <v>84</v>
      </c>
      <c r="E3" s="12" t="s">
        <v>85</v>
      </c>
      <c r="F3" s="12" t="s">
        <v>86</v>
      </c>
      <c r="H3" s="22" t="s">
        <v>87</v>
      </c>
    </row>
    <row r="4" spans="1:9" x14ac:dyDescent="0.35">
      <c r="A4" s="13" t="s">
        <v>58</v>
      </c>
      <c r="B4" s="14" t="s">
        <v>88</v>
      </c>
      <c r="C4" s="23">
        <f>$I$1+$I$2*0</f>
        <v>250</v>
      </c>
      <c r="D4" s="24">
        <f t="shared" ref="D4:D10" si="0">IFERROR(C4/$C$4-1,"")</f>
        <v>0</v>
      </c>
      <c r="E4" s="23">
        <f t="shared" ref="E4:E10" si="1">C4*600</f>
        <v>150000</v>
      </c>
      <c r="F4" s="14"/>
    </row>
    <row r="5" spans="1:9" x14ac:dyDescent="0.35">
      <c r="A5" s="13" t="s">
        <v>66</v>
      </c>
      <c r="B5" s="14" t="s">
        <v>89</v>
      </c>
      <c r="C5" s="23">
        <f>$I$1+$I$2*1</f>
        <v>265</v>
      </c>
      <c r="D5" s="24">
        <f t="shared" si="0"/>
        <v>6.0000000000000053E-2</v>
      </c>
      <c r="E5" s="23">
        <f t="shared" si="1"/>
        <v>159000</v>
      </c>
      <c r="F5" s="14"/>
    </row>
    <row r="6" spans="1:9" x14ac:dyDescent="0.35">
      <c r="A6" s="13" t="s">
        <v>68</v>
      </c>
      <c r="B6" s="14" t="s">
        <v>67</v>
      </c>
      <c r="C6" s="23">
        <f>$I$1+$I$2*2</f>
        <v>280</v>
      </c>
      <c r="D6" s="24">
        <f t="shared" si="0"/>
        <v>0.12000000000000011</v>
      </c>
      <c r="E6" s="23">
        <f t="shared" si="1"/>
        <v>168000</v>
      </c>
      <c r="F6" s="14"/>
    </row>
    <row r="7" spans="1:9" x14ac:dyDescent="0.35">
      <c r="A7" s="13" t="s">
        <v>70</v>
      </c>
      <c r="B7" s="14" t="s">
        <v>69</v>
      </c>
      <c r="C7" s="23">
        <f>$I$1+$I$2*3</f>
        <v>295</v>
      </c>
      <c r="D7" s="24">
        <f t="shared" si="0"/>
        <v>0.17999999999999994</v>
      </c>
      <c r="E7" s="23">
        <f t="shared" si="1"/>
        <v>177000</v>
      </c>
      <c r="F7" s="14"/>
    </row>
    <row r="8" spans="1:9" x14ac:dyDescent="0.35">
      <c r="A8" s="13" t="s">
        <v>72</v>
      </c>
      <c r="B8" s="14" t="s">
        <v>71</v>
      </c>
      <c r="C8" s="23">
        <f>$I$1+$I$2*4</f>
        <v>310</v>
      </c>
      <c r="D8" s="24">
        <f t="shared" si="0"/>
        <v>0.24</v>
      </c>
      <c r="E8" s="23">
        <f t="shared" si="1"/>
        <v>186000</v>
      </c>
      <c r="F8" s="14"/>
    </row>
    <row r="9" spans="1:9" x14ac:dyDescent="0.35">
      <c r="A9" s="13" t="s">
        <v>74</v>
      </c>
      <c r="B9" s="14" t="s">
        <v>73</v>
      </c>
      <c r="C9" s="23">
        <f>$I$1+$I$2*5</f>
        <v>325</v>
      </c>
      <c r="D9" s="24">
        <f t="shared" si="0"/>
        <v>0.30000000000000004</v>
      </c>
      <c r="E9" s="23">
        <f t="shared" si="1"/>
        <v>195000</v>
      </c>
      <c r="F9" s="14"/>
    </row>
    <row r="10" spans="1:9" x14ac:dyDescent="0.35">
      <c r="A10" s="13" t="s">
        <v>76</v>
      </c>
      <c r="B10" s="14" t="s">
        <v>75</v>
      </c>
      <c r="C10" s="23">
        <f>$I$1+$I$2*6</f>
        <v>340</v>
      </c>
      <c r="D10" s="24">
        <f t="shared" si="0"/>
        <v>0.3600000000000001</v>
      </c>
      <c r="E10" s="23">
        <f t="shared" si="1"/>
        <v>204000</v>
      </c>
      <c r="F10" s="14"/>
    </row>
    <row r="13" spans="1:9" x14ac:dyDescent="0.35">
      <c r="A13" s="5" t="s">
        <v>90</v>
      </c>
      <c r="B13" s="5"/>
      <c r="C13" s="5"/>
      <c r="D13" s="5"/>
      <c r="E13" s="5"/>
      <c r="F13" s="5"/>
    </row>
    <row r="14" spans="1:9" x14ac:dyDescent="0.35">
      <c r="A14" s="4"/>
      <c r="B14" s="4"/>
      <c r="C14" s="4"/>
      <c r="D14" s="4"/>
      <c r="E14" s="4"/>
      <c r="F14" s="4"/>
    </row>
    <row r="15" spans="1:9" x14ac:dyDescent="0.35">
      <c r="A15" s="4" t="s">
        <v>91</v>
      </c>
      <c r="B15" s="4"/>
      <c r="C15" s="4"/>
      <c r="D15" s="4"/>
      <c r="E15" s="4"/>
      <c r="F15" s="4"/>
    </row>
    <row r="16" spans="1:9" x14ac:dyDescent="0.35">
      <c r="A16" s="4" t="s">
        <v>92</v>
      </c>
      <c r="B16" s="4"/>
      <c r="C16" s="4"/>
      <c r="D16" s="4"/>
      <c r="E16" s="4"/>
      <c r="F16" s="4"/>
    </row>
    <row r="17" spans="1:6" x14ac:dyDescent="0.35">
      <c r="A17" s="4" t="s">
        <v>93</v>
      </c>
      <c r="B17" s="4"/>
      <c r="C17" s="4"/>
      <c r="D17" s="4"/>
      <c r="E17" s="4"/>
      <c r="F17" s="4"/>
    </row>
    <row r="18" spans="1:6" x14ac:dyDescent="0.35">
      <c r="A18" s="4" t="s">
        <v>94</v>
      </c>
      <c r="B18" s="4"/>
      <c r="C18" s="4"/>
      <c r="D18" s="4"/>
      <c r="E18" s="4"/>
      <c r="F18" s="4"/>
    </row>
    <row r="19" spans="1:6" x14ac:dyDescent="0.35">
      <c r="A19" s="4" t="s">
        <v>95</v>
      </c>
      <c r="B19" s="4"/>
      <c r="C19" s="4"/>
      <c r="D19" s="4"/>
      <c r="E19" s="4"/>
      <c r="F19" s="4"/>
    </row>
    <row r="20" spans="1:6" x14ac:dyDescent="0.35">
      <c r="A20" s="4" t="s">
        <v>96</v>
      </c>
      <c r="B20" s="4"/>
      <c r="C20" s="4"/>
      <c r="D20" s="4"/>
      <c r="E20" s="4"/>
      <c r="F20" s="4"/>
    </row>
  </sheetData>
  <mergeCells count="10">
    <mergeCell ref="A16:F16"/>
    <mergeCell ref="A17:F17"/>
    <mergeCell ref="A18:F18"/>
    <mergeCell ref="A19:F19"/>
    <mergeCell ref="A20:F20"/>
    <mergeCell ref="A1:F1"/>
    <mergeCell ref="A2:F2"/>
    <mergeCell ref="A13:F13"/>
    <mergeCell ref="A14:F14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zoomScaleNormal="100" workbookViewId="0"/>
  </sheetViews>
  <sheetFormatPr defaultColWidth="8.6328125" defaultRowHeight="14.5" x14ac:dyDescent="0.35"/>
  <cols>
    <col min="1" max="1" width="22" customWidth="1"/>
    <col min="2" max="3" width="12" customWidth="1"/>
    <col min="4" max="4" width="14" customWidth="1"/>
    <col min="5" max="6" width="16" customWidth="1"/>
  </cols>
  <sheetData>
    <row r="1" spans="1:6" ht="15.5" x14ac:dyDescent="0.35">
      <c r="A1" s="1" t="s">
        <v>97</v>
      </c>
      <c r="B1" s="1"/>
      <c r="C1" s="1"/>
      <c r="D1" s="1"/>
      <c r="E1" s="1"/>
      <c r="F1" s="1"/>
    </row>
    <row r="2" spans="1:6" x14ac:dyDescent="0.35">
      <c r="A2" s="2" t="s">
        <v>98</v>
      </c>
      <c r="B2" s="2"/>
      <c r="C2" s="2"/>
      <c r="D2" s="2"/>
      <c r="E2" s="2"/>
      <c r="F2" s="2"/>
    </row>
    <row r="3" spans="1:6" ht="27.75" customHeight="1" x14ac:dyDescent="0.35">
      <c r="A3" s="12" t="s">
        <v>46</v>
      </c>
      <c r="B3" s="12" t="s">
        <v>99</v>
      </c>
      <c r="C3" s="12" t="s">
        <v>100</v>
      </c>
      <c r="D3" s="12" t="s">
        <v>101</v>
      </c>
      <c r="E3" s="12" t="s">
        <v>102</v>
      </c>
      <c r="F3" s="12" t="s">
        <v>52</v>
      </c>
    </row>
    <row r="4" spans="1:6" x14ac:dyDescent="0.35">
      <c r="A4" s="25" t="s">
        <v>103</v>
      </c>
      <c r="B4" s="14">
        <v>14</v>
      </c>
      <c r="C4" s="26">
        <f>COUNTIF(Lot_Allocation_Master!$G$3:$G$144,A4)</f>
        <v>0</v>
      </c>
      <c r="D4" s="26">
        <f t="shared" ref="D4:D11" si="0">B4-C4</f>
        <v>14</v>
      </c>
      <c r="E4" s="16">
        <f>SUMIF(Lot_Allocation_Master!$G$3:$G$144,A4,Lot_Allocation_Master!$K$3:$K$144)</f>
        <v>0</v>
      </c>
      <c r="F4" s="16">
        <f>SUMIF(Lot_Allocation_Master!$G$3:$G$144,A4,Lot_Allocation_Master!$M$3:$M$144)</f>
        <v>0</v>
      </c>
    </row>
    <row r="5" spans="1:6" x14ac:dyDescent="0.35">
      <c r="A5" s="25" t="s">
        <v>104</v>
      </c>
      <c r="B5" s="14">
        <v>5</v>
      </c>
      <c r="C5" s="26">
        <f>COUNTIF(Lot_Allocation_Master!$G$3:$G$144,A5)</f>
        <v>0</v>
      </c>
      <c r="D5" s="26">
        <f t="shared" si="0"/>
        <v>5</v>
      </c>
      <c r="E5" s="16">
        <f>SUMIF(Lot_Allocation_Master!$G$3:$G$144,A5,Lot_Allocation_Master!$K$3:$K$144)</f>
        <v>0</v>
      </c>
      <c r="F5" s="16">
        <f>SUMIF(Lot_Allocation_Master!$G$3:$G$144,A5,Lot_Allocation_Master!$M$3:$M$144)</f>
        <v>0</v>
      </c>
    </row>
    <row r="6" spans="1:6" x14ac:dyDescent="0.35">
      <c r="A6" s="25" t="s">
        <v>105</v>
      </c>
      <c r="B6" s="14">
        <v>10</v>
      </c>
      <c r="C6" s="26">
        <f>COUNTIF(Lot_Allocation_Master!$G$3:$G$144,A6)</f>
        <v>0</v>
      </c>
      <c r="D6" s="26">
        <f t="shared" si="0"/>
        <v>10</v>
      </c>
      <c r="E6" s="16">
        <f>SUMIF(Lot_Allocation_Master!$G$3:$G$144,A6,Lot_Allocation_Master!$K$3:$K$144)</f>
        <v>0</v>
      </c>
      <c r="F6" s="16">
        <f>SUMIF(Lot_Allocation_Master!$G$3:$G$144,A6,Lot_Allocation_Master!$M$3:$M$144)</f>
        <v>0</v>
      </c>
    </row>
    <row r="7" spans="1:6" x14ac:dyDescent="0.35">
      <c r="A7" s="25" t="s">
        <v>106</v>
      </c>
      <c r="B7" s="14">
        <v>0</v>
      </c>
      <c r="C7" s="26">
        <f>COUNTIF(Lot_Allocation_Master!$G$3:$G$144,A7)</f>
        <v>0</v>
      </c>
      <c r="D7" s="26">
        <f t="shared" si="0"/>
        <v>0</v>
      </c>
      <c r="E7" s="16">
        <f>SUMIF(Lot_Allocation_Master!$G$3:$G$144,A7,Lot_Allocation_Master!$K$3:$K$144)</f>
        <v>0</v>
      </c>
      <c r="F7" s="16">
        <f>SUMIF(Lot_Allocation_Master!$G$3:$G$144,A7,Lot_Allocation_Master!$M$3:$M$144)</f>
        <v>0</v>
      </c>
    </row>
    <row r="8" spans="1:6" x14ac:dyDescent="0.35">
      <c r="A8" s="25" t="s">
        <v>60</v>
      </c>
      <c r="B8" s="14">
        <v>0</v>
      </c>
      <c r="C8" s="26">
        <f>COUNTIF(Lot_Allocation_Master!$G$3:$G$144,A8)</f>
        <v>142</v>
      </c>
      <c r="D8" s="26">
        <f t="shared" si="0"/>
        <v>-142</v>
      </c>
      <c r="E8" s="16">
        <f>SUMIF(Lot_Allocation_Master!$G$3:$G$144,A8,Lot_Allocation_Master!$K$3:$K$144)</f>
        <v>28863955</v>
      </c>
      <c r="F8" s="16">
        <f>SUMIF(Lot_Allocation_Master!$G$3:$G$144,A8,Lot_Allocation_Master!$M$3:$M$144)</f>
        <v>28863955</v>
      </c>
    </row>
    <row r="9" spans="1:6" x14ac:dyDescent="0.35">
      <c r="A9" s="25" t="s">
        <v>107</v>
      </c>
      <c r="B9" s="14">
        <v>0</v>
      </c>
      <c r="C9" s="26">
        <f>COUNTIF(Lot_Allocation_Master!$G$3:$G$144,A9)</f>
        <v>0</v>
      </c>
      <c r="D9" s="26">
        <f t="shared" si="0"/>
        <v>0</v>
      </c>
      <c r="E9" s="16">
        <f>SUMIF(Lot_Allocation_Master!$G$3:$G$144,A9,Lot_Allocation_Master!$K$3:$K$144)</f>
        <v>0</v>
      </c>
      <c r="F9" s="16">
        <f>SUMIF(Lot_Allocation_Master!$G$3:$G$144,A9,Lot_Allocation_Master!$M$3:$M$144)</f>
        <v>0</v>
      </c>
    </row>
    <row r="10" spans="1:6" x14ac:dyDescent="0.35">
      <c r="A10" s="25" t="s">
        <v>108</v>
      </c>
      <c r="B10" s="14">
        <v>0</v>
      </c>
      <c r="C10" s="26">
        <f>COUNTIF(Lot_Allocation_Master!$G$3:$G$144,A10)</f>
        <v>0</v>
      </c>
      <c r="D10" s="26">
        <f t="shared" si="0"/>
        <v>0</v>
      </c>
      <c r="E10" s="16">
        <f>SUMIF(Lot_Allocation_Master!$G$3:$G$144,A10,Lot_Allocation_Master!$K$3:$K$144)</f>
        <v>0</v>
      </c>
      <c r="F10" s="16">
        <f>SUMIF(Lot_Allocation_Master!$G$3:$G$144,A10,Lot_Allocation_Master!$M$3:$M$144)</f>
        <v>0</v>
      </c>
    </row>
    <row r="11" spans="1:6" x14ac:dyDescent="0.35">
      <c r="A11" s="25" t="s">
        <v>109</v>
      </c>
      <c r="B11" s="14">
        <v>0</v>
      </c>
      <c r="C11" s="26">
        <f>COUNTIF(Lot_Allocation_Master!$G$3:$G$144,A11)</f>
        <v>0</v>
      </c>
      <c r="D11" s="26">
        <f t="shared" si="0"/>
        <v>0</v>
      </c>
      <c r="E11" s="16">
        <f>SUMIF(Lot_Allocation_Master!$G$3:$G$144,A11,Lot_Allocation_Master!$K$3:$K$144)</f>
        <v>0</v>
      </c>
      <c r="F11" s="16">
        <f>SUMIF(Lot_Allocation_Master!$G$3:$G$144,A11,Lot_Allocation_Master!$M$3:$M$144)</f>
        <v>0</v>
      </c>
    </row>
    <row r="13" spans="1:6" x14ac:dyDescent="0.35">
      <c r="A13" s="17" t="s">
        <v>110</v>
      </c>
      <c r="B13" s="27">
        <f>SUM(B4:B12)</f>
        <v>29</v>
      </c>
      <c r="C13" s="27">
        <f>SUM(C4:C12)</f>
        <v>142</v>
      </c>
      <c r="D13" s="27">
        <f>SUM(D4:D12)</f>
        <v>-113</v>
      </c>
      <c r="E13" s="28">
        <f>SUM(E4:E12)</f>
        <v>28863955</v>
      </c>
      <c r="F13" s="28">
        <f>SUM(F4:F12)</f>
        <v>28863955</v>
      </c>
    </row>
    <row r="15" spans="1:6" x14ac:dyDescent="0.35">
      <c r="A15" s="5" t="s">
        <v>111</v>
      </c>
      <c r="B15" s="5"/>
      <c r="C15" s="5"/>
      <c r="D15" s="5"/>
      <c r="E15" s="5"/>
      <c r="F15" s="5"/>
    </row>
    <row r="16" spans="1:6" x14ac:dyDescent="0.35">
      <c r="A16" s="4"/>
      <c r="B16" s="4"/>
      <c r="C16" s="4"/>
      <c r="D16" s="4"/>
      <c r="E16" s="4"/>
      <c r="F16" s="4"/>
    </row>
    <row r="17" spans="1:6" x14ac:dyDescent="0.35">
      <c r="A17" s="4" t="s">
        <v>112</v>
      </c>
      <c r="B17" s="4"/>
      <c r="C17" s="4"/>
      <c r="D17" s="4"/>
      <c r="E17" s="4"/>
      <c r="F17" s="4"/>
    </row>
    <row r="18" spans="1:6" x14ac:dyDescent="0.35">
      <c r="A18" s="4" t="s">
        <v>113</v>
      </c>
      <c r="B18" s="4"/>
      <c r="C18" s="4"/>
      <c r="D18" s="4"/>
      <c r="E18" s="4"/>
      <c r="F18" s="4"/>
    </row>
    <row r="19" spans="1:6" x14ac:dyDescent="0.35">
      <c r="A19" s="4" t="s">
        <v>114</v>
      </c>
      <c r="B19" s="4"/>
      <c r="C19" s="4"/>
      <c r="D19" s="4"/>
      <c r="E19" s="4"/>
      <c r="F19" s="4"/>
    </row>
    <row r="20" spans="1:6" x14ac:dyDescent="0.35">
      <c r="A20" s="4" t="s">
        <v>115</v>
      </c>
      <c r="B20" s="4"/>
      <c r="C20" s="4"/>
      <c r="D20" s="4"/>
      <c r="E20" s="4"/>
      <c r="F20" s="4"/>
    </row>
    <row r="21" spans="1:6" x14ac:dyDescent="0.35">
      <c r="A21" s="4" t="s">
        <v>116</v>
      </c>
      <c r="B21" s="4"/>
      <c r="C21" s="4"/>
      <c r="D21" s="4"/>
      <c r="E21" s="4"/>
      <c r="F21" s="4"/>
    </row>
    <row r="22" spans="1:6" x14ac:dyDescent="0.35">
      <c r="A22" s="4" t="s">
        <v>117</v>
      </c>
      <c r="B22" s="4"/>
      <c r="C22" s="4"/>
      <c r="D22" s="4"/>
      <c r="E22" s="4"/>
      <c r="F22" s="4"/>
    </row>
  </sheetData>
  <mergeCells count="10">
    <mergeCell ref="A18:F18"/>
    <mergeCell ref="A19:F19"/>
    <mergeCell ref="A20:F20"/>
    <mergeCell ref="A21:F21"/>
    <mergeCell ref="A22:F22"/>
    <mergeCell ref="A1:F1"/>
    <mergeCell ref="A2:F2"/>
    <mergeCell ref="A15:F15"/>
    <mergeCell ref="A16:F16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28" customWidth="1"/>
    <col min="3" max="4" width="12" customWidth="1"/>
    <col min="5" max="6" width="14" customWidth="1"/>
    <col min="7" max="7" width="35" customWidth="1"/>
  </cols>
  <sheetData>
    <row r="1" spans="1:7" ht="15.5" x14ac:dyDescent="0.35">
      <c r="A1" s="1" t="s">
        <v>118</v>
      </c>
      <c r="B1" s="1"/>
      <c r="C1" s="1"/>
      <c r="D1" s="1"/>
      <c r="E1" s="1"/>
      <c r="F1" s="1"/>
      <c r="G1" s="1"/>
    </row>
    <row r="2" spans="1:7" x14ac:dyDescent="0.35">
      <c r="A2" s="2" t="s">
        <v>119</v>
      </c>
      <c r="B2" s="2"/>
      <c r="C2" s="2"/>
      <c r="D2" s="2"/>
      <c r="E2" s="2"/>
      <c r="F2" s="2"/>
      <c r="G2" s="2"/>
    </row>
    <row r="3" spans="1:7" ht="27.75" customHeight="1" x14ac:dyDescent="0.35">
      <c r="A3" s="12" t="s">
        <v>120</v>
      </c>
      <c r="B3" s="12" t="s">
        <v>121</v>
      </c>
      <c r="C3" s="12" t="s">
        <v>122</v>
      </c>
      <c r="D3" s="12" t="s">
        <v>123</v>
      </c>
      <c r="E3" s="12" t="s">
        <v>124</v>
      </c>
      <c r="F3" s="12" t="s">
        <v>125</v>
      </c>
      <c r="G3" s="12" t="s">
        <v>126</v>
      </c>
    </row>
    <row r="4" spans="1:7" x14ac:dyDescent="0.35">
      <c r="A4" s="14" t="s">
        <v>127</v>
      </c>
      <c r="B4" s="14" t="s">
        <v>128</v>
      </c>
      <c r="C4" s="14">
        <v>3</v>
      </c>
      <c r="D4" s="14">
        <v>2</v>
      </c>
      <c r="E4" s="14">
        <v>142</v>
      </c>
      <c r="F4" s="21">
        <v>380000</v>
      </c>
      <c r="G4" s="14" t="s">
        <v>129</v>
      </c>
    </row>
    <row r="5" spans="1:7" x14ac:dyDescent="0.35">
      <c r="A5" s="14" t="s">
        <v>130</v>
      </c>
      <c r="B5" s="14" t="s">
        <v>131</v>
      </c>
      <c r="C5" s="14">
        <v>4</v>
      </c>
      <c r="D5" s="14">
        <v>2</v>
      </c>
      <c r="E5" s="14">
        <v>168</v>
      </c>
      <c r="F5" s="21">
        <v>425000</v>
      </c>
      <c r="G5" s="14" t="s">
        <v>132</v>
      </c>
    </row>
    <row r="6" spans="1:7" x14ac:dyDescent="0.35">
      <c r="A6" s="14" t="s">
        <v>133</v>
      </c>
      <c r="B6" s="14" t="s">
        <v>134</v>
      </c>
      <c r="C6" s="14">
        <v>3</v>
      </c>
      <c r="D6" s="14">
        <v>2</v>
      </c>
      <c r="E6" s="14">
        <v>140</v>
      </c>
      <c r="F6" s="21">
        <v>0</v>
      </c>
      <c r="G6" s="14" t="s">
        <v>135</v>
      </c>
    </row>
    <row r="7" spans="1:7" x14ac:dyDescent="0.35">
      <c r="A7" s="14" t="s">
        <v>136</v>
      </c>
      <c r="B7" s="14" t="s">
        <v>137</v>
      </c>
      <c r="C7" s="14">
        <v>4</v>
      </c>
      <c r="D7" s="14">
        <v>2</v>
      </c>
      <c r="E7" s="14">
        <v>185</v>
      </c>
      <c r="F7" s="21">
        <v>480000</v>
      </c>
      <c r="G7" s="14" t="s">
        <v>138</v>
      </c>
    </row>
    <row r="8" spans="1:7" x14ac:dyDescent="0.35">
      <c r="A8" s="14" t="s">
        <v>139</v>
      </c>
      <c r="B8" s="14" t="s">
        <v>140</v>
      </c>
      <c r="C8" s="14">
        <v>3</v>
      </c>
      <c r="D8" s="14">
        <v>2</v>
      </c>
      <c r="E8" s="14">
        <v>140</v>
      </c>
      <c r="F8" s="21">
        <v>365000</v>
      </c>
      <c r="G8" s="14" t="s">
        <v>141</v>
      </c>
    </row>
    <row r="9" spans="1:7" x14ac:dyDescent="0.35">
      <c r="A9" s="14" t="s">
        <v>142</v>
      </c>
      <c r="B9" s="14" t="s">
        <v>143</v>
      </c>
      <c r="C9" s="14">
        <v>4</v>
      </c>
      <c r="D9" s="14">
        <v>2</v>
      </c>
      <c r="E9" s="14">
        <v>170</v>
      </c>
      <c r="F9" s="21">
        <v>420000</v>
      </c>
      <c r="G9" s="14" t="s">
        <v>141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10" customWidth="1"/>
    <col min="3" max="5" width="18" customWidth="1"/>
    <col min="6" max="6" width="30" customWidth="1"/>
    <col min="7" max="7" width="14" customWidth="1"/>
  </cols>
  <sheetData>
    <row r="1" spans="1:7" ht="15.5" x14ac:dyDescent="0.35">
      <c r="A1" s="1" t="s">
        <v>144</v>
      </c>
      <c r="B1" s="1"/>
      <c r="C1" s="1"/>
      <c r="D1" s="1"/>
      <c r="E1" s="1"/>
      <c r="F1" s="1"/>
    </row>
    <row r="2" spans="1:7" x14ac:dyDescent="0.35">
      <c r="A2" s="2" t="s">
        <v>145</v>
      </c>
      <c r="B2" s="2"/>
      <c r="C2" s="2"/>
      <c r="D2" s="2"/>
      <c r="E2" s="2"/>
      <c r="F2" s="2"/>
    </row>
    <row r="3" spans="1:7" ht="27.75" customHeight="1" x14ac:dyDescent="0.35">
      <c r="A3" s="12" t="s">
        <v>146</v>
      </c>
      <c r="B3" s="12" t="s">
        <v>40</v>
      </c>
      <c r="C3" s="12" t="s">
        <v>147</v>
      </c>
      <c r="D3" s="12" t="s">
        <v>148</v>
      </c>
      <c r="E3" s="12" t="s">
        <v>149</v>
      </c>
      <c r="F3" s="12" t="s">
        <v>150</v>
      </c>
      <c r="G3" s="12" t="s">
        <v>151</v>
      </c>
    </row>
    <row r="4" spans="1:7" x14ac:dyDescent="0.35">
      <c r="A4" s="14"/>
      <c r="B4" s="14"/>
      <c r="C4" s="14"/>
      <c r="D4" s="14"/>
      <c r="E4" s="14"/>
      <c r="F4" s="14"/>
      <c r="G4" s="14"/>
    </row>
    <row r="5" spans="1:7" x14ac:dyDescent="0.35">
      <c r="A5" s="14"/>
      <c r="B5" s="14"/>
      <c r="C5" s="14"/>
      <c r="D5" s="14"/>
      <c r="E5" s="14"/>
      <c r="F5" s="14"/>
      <c r="G5" s="14"/>
    </row>
    <row r="6" spans="1:7" x14ac:dyDescent="0.35">
      <c r="A6" s="14"/>
      <c r="B6" s="14"/>
      <c r="C6" s="14"/>
      <c r="D6" s="14"/>
      <c r="E6" s="14"/>
      <c r="F6" s="14"/>
      <c r="G6" s="14"/>
    </row>
    <row r="7" spans="1:7" x14ac:dyDescent="0.35">
      <c r="A7" s="14"/>
      <c r="B7" s="14"/>
      <c r="C7" s="14"/>
      <c r="D7" s="14"/>
      <c r="E7" s="14"/>
      <c r="F7" s="14"/>
      <c r="G7" s="14"/>
    </row>
    <row r="8" spans="1:7" x14ac:dyDescent="0.35">
      <c r="A8" s="14"/>
      <c r="B8" s="14"/>
      <c r="C8" s="14"/>
      <c r="D8" s="14"/>
      <c r="E8" s="14"/>
      <c r="F8" s="14"/>
      <c r="G8" s="14"/>
    </row>
    <row r="9" spans="1:7" x14ac:dyDescent="0.35">
      <c r="A9" s="14"/>
      <c r="B9" s="14"/>
      <c r="C9" s="14"/>
      <c r="D9" s="14"/>
      <c r="E9" s="14"/>
      <c r="F9" s="14"/>
      <c r="G9" s="14"/>
    </row>
    <row r="10" spans="1:7" x14ac:dyDescent="0.35">
      <c r="A10" s="14"/>
      <c r="B10" s="14"/>
      <c r="C10" s="14"/>
      <c r="D10" s="14"/>
      <c r="E10" s="14"/>
      <c r="F10" s="14"/>
      <c r="G10" s="14"/>
    </row>
    <row r="11" spans="1:7" x14ac:dyDescent="0.35">
      <c r="A11" s="14"/>
      <c r="B11" s="14"/>
      <c r="C11" s="14"/>
      <c r="D11" s="14"/>
      <c r="E11" s="14"/>
      <c r="F11" s="14"/>
      <c r="G11" s="14"/>
    </row>
    <row r="12" spans="1:7" x14ac:dyDescent="0.35">
      <c r="A12" s="14"/>
      <c r="B12" s="14"/>
      <c r="C12" s="14"/>
      <c r="D12" s="14"/>
      <c r="E12" s="14"/>
      <c r="F12" s="14"/>
      <c r="G12" s="14"/>
    </row>
    <row r="13" spans="1:7" x14ac:dyDescent="0.35">
      <c r="A13" s="14"/>
      <c r="B13" s="14"/>
      <c r="C13" s="14"/>
      <c r="D13" s="14"/>
      <c r="E13" s="14"/>
      <c r="F13" s="14"/>
      <c r="G13" s="14"/>
    </row>
    <row r="14" spans="1:7" x14ac:dyDescent="0.35">
      <c r="A14" s="14"/>
      <c r="B14" s="14"/>
      <c r="C14" s="14"/>
      <c r="D14" s="14"/>
      <c r="E14" s="14"/>
      <c r="F14" s="14"/>
      <c r="G14" s="14"/>
    </row>
    <row r="15" spans="1:7" x14ac:dyDescent="0.35">
      <c r="A15" s="14"/>
      <c r="B15" s="14"/>
      <c r="C15" s="14"/>
      <c r="D15" s="14"/>
      <c r="E15" s="14"/>
      <c r="F15" s="14"/>
      <c r="G15" s="14"/>
    </row>
    <row r="16" spans="1:7" x14ac:dyDescent="0.35">
      <c r="A16" s="14"/>
      <c r="B16" s="14"/>
      <c r="C16" s="14"/>
      <c r="D16" s="14"/>
      <c r="E16" s="14"/>
      <c r="F16" s="14"/>
      <c r="G16" s="14"/>
    </row>
    <row r="17" spans="1:7" x14ac:dyDescent="0.35">
      <c r="A17" s="14"/>
      <c r="B17" s="14"/>
      <c r="C17" s="14"/>
      <c r="D17" s="14"/>
      <c r="E17" s="14"/>
      <c r="F17" s="14"/>
      <c r="G17" s="14"/>
    </row>
    <row r="18" spans="1:7" x14ac:dyDescent="0.35">
      <c r="A18" s="14"/>
      <c r="B18" s="14"/>
      <c r="C18" s="14"/>
      <c r="D18" s="14"/>
      <c r="E18" s="14"/>
      <c r="F18" s="14"/>
      <c r="G18" s="14"/>
    </row>
    <row r="19" spans="1:7" x14ac:dyDescent="0.35">
      <c r="A19" s="14"/>
      <c r="B19" s="14"/>
      <c r="C19" s="14"/>
      <c r="D19" s="14"/>
      <c r="E19" s="14"/>
      <c r="F19" s="14"/>
      <c r="G19" s="14"/>
    </row>
    <row r="20" spans="1:7" x14ac:dyDescent="0.35">
      <c r="A20" s="14"/>
      <c r="B20" s="14"/>
      <c r="C20" s="14"/>
      <c r="D20" s="14"/>
      <c r="E20" s="14"/>
      <c r="F20" s="14"/>
      <c r="G20" s="14"/>
    </row>
    <row r="21" spans="1:7" x14ac:dyDescent="0.35">
      <c r="A21" s="14"/>
      <c r="B21" s="14"/>
      <c r="C21" s="14"/>
      <c r="D21" s="14"/>
      <c r="E21" s="14"/>
      <c r="F21" s="14"/>
      <c r="G21" s="14"/>
    </row>
    <row r="22" spans="1:7" x14ac:dyDescent="0.35">
      <c r="A22" s="14"/>
      <c r="B22" s="14"/>
      <c r="C22" s="14"/>
      <c r="D22" s="14"/>
      <c r="E22" s="14"/>
      <c r="F22" s="14"/>
      <c r="G22" s="14"/>
    </row>
    <row r="23" spans="1:7" x14ac:dyDescent="0.35">
      <c r="A23" s="14"/>
      <c r="B23" s="14"/>
      <c r="C23" s="14"/>
      <c r="D23" s="14"/>
      <c r="E23" s="14"/>
      <c r="F23" s="14"/>
      <c r="G23" s="1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Lot_Allocation_Master</vt:lpstr>
      <vt:lpstr>Stage_Pricing_Ladder</vt:lpstr>
      <vt:lpstr>Offtaker_Summary</vt:lpstr>
      <vt:lpstr>Dwelling_Types</vt:lpstr>
      <vt:lpstr>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Dennis McMahon</cp:lastModifiedBy>
  <cp:revision>0</cp:revision>
  <dcterms:created xsi:type="dcterms:W3CDTF">2026-05-15T10:28:37Z</dcterms:created>
  <dcterms:modified xsi:type="dcterms:W3CDTF">2026-05-15T12:35:17Z</dcterms:modified>
  <dc:language>en-US</dc:language>
</cp:coreProperties>
</file>